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дъезд 1" sheetId="1" r:id="rId5"/>
    <sheet state="visible" name="Подъезд 2" sheetId="2" r:id="rId6"/>
    <sheet state="visible" name="Подъезд 3" sheetId="3" r:id="rId7"/>
    <sheet state="visible" name="Офисы" sheetId="4" r:id="rId8"/>
    <sheet state="visible" name="Вопросы" sheetId="5" r:id="rId9"/>
    <sheet state="visible" name="Настройка" sheetId="6" r:id="rId10"/>
    <sheet state="visible" name="Генерация" sheetId="7" r:id="rId11"/>
  </sheets>
  <definedNames/>
  <calcPr/>
</workbook>
</file>

<file path=xl/sharedStrings.xml><?xml version="1.0" encoding="utf-8"?>
<sst xmlns="http://schemas.openxmlformats.org/spreadsheetml/2006/main" count="621" uniqueCount="525">
  <si>
    <t>Этаж</t>
  </si>
  <si>
    <t># квартиры</t>
  </si>
  <si>
    <t>каддастровый номер</t>
  </si>
  <si>
    <t>Площадь</t>
  </si>
  <si>
    <t>Электронно</t>
  </si>
  <si>
    <t>Бланк</t>
  </si>
  <si>
    <t>ФИО</t>
  </si>
  <si>
    <t>камеры</t>
  </si>
  <si>
    <t>Телефон</t>
  </si>
  <si>
    <t>91:02:001013:7108</t>
  </si>
  <si>
    <t>7978-898-34-17</t>
  </si>
  <si>
    <t>91:02:001013:7109</t>
  </si>
  <si>
    <t>Царков Сергей Александрович</t>
  </si>
  <si>
    <t>91:02:001013:7110</t>
  </si>
  <si>
    <t>91:02:001013:7111</t>
  </si>
  <si>
    <t>ООО "Опт индустрия"</t>
  </si>
  <si>
    <t>7978-721-11-49</t>
  </si>
  <si>
    <t>91:02:001013:7112</t>
  </si>
  <si>
    <t>Чижов Алексей Николаевич</t>
  </si>
  <si>
    <t>91:02:001013:7113</t>
  </si>
  <si>
    <t>Козыкина</t>
  </si>
  <si>
    <t>9182495932</t>
  </si>
  <si>
    <t xml:space="preserve"> 91:02:001013:7114-91/001/2020-3
от 17.09.2020</t>
  </si>
  <si>
    <t>Лещенко</t>
  </si>
  <si>
    <t>7978 56 82891</t>
  </si>
  <si>
    <t>91:02:001013:7115</t>
  </si>
  <si>
    <t>7978-844-55-98</t>
  </si>
  <si>
    <t>91:02:001013:7116</t>
  </si>
  <si>
    <t>91:02:001013:7117</t>
  </si>
  <si>
    <t>Хорошилова Любовь Иванова</t>
  </si>
  <si>
    <t>91:02:001013:7118</t>
  </si>
  <si>
    <t>9789177815, 7978-615-87-97</t>
  </si>
  <si>
    <t>91:02:001013:7119</t>
  </si>
  <si>
    <t>7918-581-75-36</t>
  </si>
  <si>
    <t>91:02:001013:7120</t>
  </si>
  <si>
    <t>8978-179-13-71</t>
  </si>
  <si>
    <t>91:02:001013:7121</t>
  </si>
  <si>
    <t>91:02:001013:7122</t>
  </si>
  <si>
    <t>79787097421</t>
  </si>
  <si>
    <t>91:02:001013:7123</t>
  </si>
  <si>
    <t>Мамонова Ольга Болисовна</t>
  </si>
  <si>
    <t>91:02:001013:7124</t>
  </si>
  <si>
    <t>79787500462</t>
  </si>
  <si>
    <t>91:02:001013:7125</t>
  </si>
  <si>
    <t>без паспорта</t>
  </si>
  <si>
    <t>8978-749-38-89</t>
  </si>
  <si>
    <t>91:02:001013:7126</t>
  </si>
  <si>
    <t>79113061631</t>
  </si>
  <si>
    <t>91:02:001013:7127</t>
  </si>
  <si>
    <t>79781134312, 7978-051-72-24</t>
  </si>
  <si>
    <t>91:02:001013:7128</t>
  </si>
  <si>
    <t>79787420875</t>
  </si>
  <si>
    <t>91:02:001013:7129</t>
  </si>
  <si>
    <t>91:02:001013:7130</t>
  </si>
  <si>
    <t>8953-308-17-27</t>
  </si>
  <si>
    <t>91:02:001013:7131</t>
  </si>
  <si>
    <t>Инна Манковская + 205</t>
  </si>
  <si>
    <t>91:02:001013:7132</t>
  </si>
  <si>
    <t>8978-831-50-91</t>
  </si>
  <si>
    <t>91:02:001013:7133</t>
  </si>
  <si>
    <t>Оксана офис 32 (парихмахерская около 1ого подъезда)</t>
  </si>
  <si>
    <t>8978-795-99-92</t>
  </si>
  <si>
    <t>91:02:001013:7134</t>
  </si>
  <si>
    <t>Злобин</t>
  </si>
  <si>
    <t>91:02:001013:7135</t>
  </si>
  <si>
    <t>7978-070-09-11</t>
  </si>
  <si>
    <t>91:02:001013:7136</t>
  </si>
  <si>
    <t>Виктор Головенский</t>
  </si>
  <si>
    <t>7978 898 3417</t>
  </si>
  <si>
    <t>91:02:001013:7137</t>
  </si>
  <si>
    <t>7989-293-67-14</t>
  </si>
  <si>
    <t>91:02:001013:7138</t>
  </si>
  <si>
    <t>8919-889-54-46</t>
  </si>
  <si>
    <t>91:02:001013:7139</t>
  </si>
  <si>
    <t>7978-712-55-45</t>
  </si>
  <si>
    <t>91:02:001013:7140</t>
  </si>
  <si>
    <t>7983451366</t>
  </si>
  <si>
    <t>91:02:001013:7141</t>
  </si>
  <si>
    <t>=+79787152636, 7978-872-27-17</t>
  </si>
  <si>
    <t>91:02:001013:7142</t>
  </si>
  <si>
    <t>91:02:001013:7143</t>
  </si>
  <si>
    <t>91:02:001013:7144</t>
  </si>
  <si>
    <t>=+79788664720, 7978-866-47-20, 7978-091-54-59</t>
  </si>
  <si>
    <t>91:02:001013:7145</t>
  </si>
  <si>
    <t>Ирина Сергеенкова</t>
  </si>
  <si>
    <t>7978-749-04-33</t>
  </si>
  <si>
    <t>91:02:001013:7146</t>
  </si>
  <si>
    <t>7978-801-23-72</t>
  </si>
  <si>
    <t>91:02:001013:7147</t>
  </si>
  <si>
    <t>7978-759-59-31</t>
  </si>
  <si>
    <t>91:02:001013:7148</t>
  </si>
  <si>
    <t>8978-282-42-61</t>
  </si>
  <si>
    <t>91:02:001013:7149</t>
  </si>
  <si>
    <t>79787672545</t>
  </si>
  <si>
    <t>91:02:001013:7150</t>
  </si>
  <si>
    <t>7978-832-24-04</t>
  </si>
  <si>
    <t>91:02:001013:7151</t>
  </si>
  <si>
    <t>7978-809-91-71</t>
  </si>
  <si>
    <t>91:02:001013:7152</t>
  </si>
  <si>
    <t>Курпшена, видимо у нас есть бланк и электронно</t>
  </si>
  <si>
    <t>7978-091-54-59</t>
  </si>
  <si>
    <t>91:02:001013:7153</t>
  </si>
  <si>
    <t>8978-704-67-17</t>
  </si>
  <si>
    <t>91:02:001013:7154</t>
  </si>
  <si>
    <t>7978-795-67-42</t>
  </si>
  <si>
    <t>91:02:001013:7155</t>
  </si>
  <si>
    <t>79780001897</t>
  </si>
  <si>
    <t>91:02:001013:7156</t>
  </si>
  <si>
    <t>91:02:001013:7157</t>
  </si>
  <si>
    <t>79788218253</t>
  </si>
  <si>
    <t>91:02:001013:7158</t>
  </si>
  <si>
    <t>79780073508, 79780381038</t>
  </si>
  <si>
    <t>91:02:001013:7159</t>
  </si>
  <si>
    <t>91:02:001013:7160</t>
  </si>
  <si>
    <t>7914-024-84-93, 7914-024-84-91</t>
  </si>
  <si>
    <t>91:02:001013:7161</t>
  </si>
  <si>
    <t>7978-796-59-30</t>
  </si>
  <si>
    <t>91:02:001013:7162-92/002/2023-3
от 16.06.2023</t>
  </si>
  <si>
    <t>79878879122</t>
  </si>
  <si>
    <t>91:02:001013:7163</t>
  </si>
  <si>
    <t>79781020782</t>
  </si>
  <si>
    <t>91:02:001013:7164</t>
  </si>
  <si>
    <t>91:02:001013:7165</t>
  </si>
  <si>
    <t>91:02:001013:7166</t>
  </si>
  <si>
    <t>7914-262-04-20</t>
  </si>
  <si>
    <t>91:02:001013:7167</t>
  </si>
  <si>
    <t>7978739-90-35</t>
  </si>
  <si>
    <t>91:02:001013:7168</t>
  </si>
  <si>
    <t>7978-942-95-31, 7978-880-26-51</t>
  </si>
  <si>
    <t>91:02:001013:7169</t>
  </si>
  <si>
    <t>79787902212</t>
  </si>
  <si>
    <t>91:02:001013:7170</t>
  </si>
  <si>
    <t>8978-764-60-05</t>
  </si>
  <si>
    <t>91:02:001013:7171</t>
  </si>
  <si>
    <t>7978-900-58-28</t>
  </si>
  <si>
    <t>91:02:001013:7172</t>
  </si>
  <si>
    <t>7978-744-90-16</t>
  </si>
  <si>
    <t>91:02:001013:7173</t>
  </si>
  <si>
    <t>7978-229-65-24</t>
  </si>
  <si>
    <t>91:02:001013:7174</t>
  </si>
  <si>
    <t>91:02:001013:7175</t>
  </si>
  <si>
    <t>91:02:001013:7176</t>
  </si>
  <si>
    <t>7978-784-57-20</t>
  </si>
  <si>
    <t>91:02:001013:7177</t>
  </si>
  <si>
    <t>79780471685, 7978-047-16-85</t>
  </si>
  <si>
    <t>91:02:001013:7178</t>
  </si>
  <si>
    <t>91:02:001013:7179</t>
  </si>
  <si>
    <t>7978-876-42-90</t>
  </si>
  <si>
    <t>91:02:001013:7180</t>
  </si>
  <si>
    <t>91:02:001013:7181</t>
  </si>
  <si>
    <t>Черкесов</t>
  </si>
  <si>
    <t>79788950749</t>
  </si>
  <si>
    <t>91:02:001013:7182</t>
  </si>
  <si>
    <t>Сергей</t>
  </si>
  <si>
    <t>79787889958</t>
  </si>
  <si>
    <t>91:02:001013:7183</t>
  </si>
  <si>
    <t>91:02:001013:7184</t>
  </si>
  <si>
    <t>7978-749-04-20</t>
  </si>
  <si>
    <t>91:02:001013:7185</t>
  </si>
  <si>
    <t>7978-730-15-24</t>
  </si>
  <si>
    <t>91:02:001013:7186</t>
  </si>
  <si>
    <t>91:02:001013:7187</t>
  </si>
  <si>
    <t>79781467629</t>
  </si>
  <si>
    <t>Квадратура</t>
  </si>
  <si>
    <t>Камеры</t>
  </si>
  <si>
    <t>91:02:001013:7189</t>
  </si>
  <si>
    <t>91:02:001013:7190</t>
  </si>
  <si>
    <t>нет паспорта</t>
  </si>
  <si>
    <t>7978-842-51-59</t>
  </si>
  <si>
    <t>91:02:001013:7191</t>
  </si>
  <si>
    <t>91:02:001013:7192</t>
  </si>
  <si>
    <t>7978-749-41-93</t>
  </si>
  <si>
    <t>91:02:001013:7193</t>
  </si>
  <si>
    <t>91:02:001013:7194</t>
  </si>
  <si>
    <t>91:02:001013:7195</t>
  </si>
  <si>
    <t>7978-535-97-08</t>
  </si>
  <si>
    <t>91:02:001013:7196</t>
  </si>
  <si>
    <t>7916-530-68-57</t>
  </si>
  <si>
    <t>91:02:001013:7197</t>
  </si>
  <si>
    <t>8978-032-34-07</t>
  </si>
  <si>
    <t>91:02:001013:7198</t>
  </si>
  <si>
    <t>91:02:001013:7199</t>
  </si>
  <si>
    <t>8978-760-92-66</t>
  </si>
  <si>
    <t>91:02:001013:7200</t>
  </si>
  <si>
    <t>91:02:001013:7201</t>
  </si>
  <si>
    <t>Кореяк</t>
  </si>
  <si>
    <t>8978-748-65-21</t>
  </si>
  <si>
    <t>91:02:001013:7202</t>
  </si>
  <si>
    <t>91:02:001013:7203</t>
  </si>
  <si>
    <t>91:02:001013:7204</t>
  </si>
  <si>
    <t>8988-414-71-50</t>
  </si>
  <si>
    <t>91:02:001013:7205</t>
  </si>
  <si>
    <t>8978-562-58-01</t>
  </si>
  <si>
    <t>91:02:001013:7206</t>
  </si>
  <si>
    <t>91:02:001013:7207</t>
  </si>
  <si>
    <t>7978-822-84-96</t>
  </si>
  <si>
    <t>91:02:001013:7208</t>
  </si>
  <si>
    <t>Елена Богданова</t>
  </si>
  <si>
    <t>7 978 817 5764</t>
  </si>
  <si>
    <t>91:02:001013:7209</t>
  </si>
  <si>
    <t>7978-817-57-64</t>
  </si>
  <si>
    <t>91:02:001013:7210</t>
  </si>
  <si>
    <t>91:02:001013:7211</t>
  </si>
  <si>
    <t>8978-765-58-05</t>
  </si>
  <si>
    <t>91:02:001013:7212</t>
  </si>
  <si>
    <t>91:02:001013:7213</t>
  </si>
  <si>
    <t>7978-704-02-04</t>
  </si>
  <si>
    <t>91:02:001013:7214</t>
  </si>
  <si>
    <t>91:02:001013:7215</t>
  </si>
  <si>
    <t>91:02:001013:7216</t>
  </si>
  <si>
    <t>7984-136-27-33</t>
  </si>
  <si>
    <t>91:02:001013:7217</t>
  </si>
  <si>
    <t>7978-739-04-44</t>
  </si>
  <si>
    <t>91:02:001013:7218</t>
  </si>
  <si>
    <t>7978-890-73-15</t>
  </si>
  <si>
    <t>91:02:001013:7219</t>
  </si>
  <si>
    <t>797873048-95, 7978-275-01-50</t>
  </si>
  <si>
    <t>91:02:001013:7220</t>
  </si>
  <si>
    <t>91:02:001013:7221</t>
  </si>
  <si>
    <t>8978-545-89-15</t>
  </si>
  <si>
    <t>91:02:001013:7222</t>
  </si>
  <si>
    <t>возможно противники без номера квартиры</t>
  </si>
  <si>
    <t>7916-804-92-21</t>
  </si>
  <si>
    <t>91:02:001013:7223</t>
  </si>
  <si>
    <t>91:02:001013:7224</t>
  </si>
  <si>
    <t>Анна</t>
  </si>
  <si>
    <t>7978-063-17-01</t>
  </si>
  <si>
    <t>91:02:001013:7225</t>
  </si>
  <si>
    <t>7978-725-42-87</t>
  </si>
  <si>
    <t>91:02:001013:7226</t>
  </si>
  <si>
    <t>7978-570-00-87</t>
  </si>
  <si>
    <t>91:02:001013:7227</t>
  </si>
  <si>
    <t>91:02:001013:7228</t>
  </si>
  <si>
    <t>8978-809-91-71</t>
  </si>
  <si>
    <t>91:02:001013:7229</t>
  </si>
  <si>
    <t>91:02:001013:7230</t>
  </si>
  <si>
    <t>7911-381-53-87</t>
  </si>
  <si>
    <t>91:02:001013:7231</t>
  </si>
  <si>
    <t>91:02:001013:7232</t>
  </si>
  <si>
    <t>91:02:001013:7233</t>
  </si>
  <si>
    <t>91:02:001013:7234</t>
  </si>
  <si>
    <t>7978-014-50-54</t>
  </si>
  <si>
    <t>91:02:001013:7235</t>
  </si>
  <si>
    <t>91:02:001013:7236</t>
  </si>
  <si>
    <t>91:02:001013:7237</t>
  </si>
  <si>
    <t>Немец</t>
  </si>
  <si>
    <t>91:02:001013:7238</t>
  </si>
  <si>
    <t>91:02:001013:7239</t>
  </si>
  <si>
    <t>91:02:001013:7240</t>
  </si>
  <si>
    <t>7978-033-94-39</t>
  </si>
  <si>
    <t>91:02:001013:7241</t>
  </si>
  <si>
    <t>91:02:001013:7242</t>
  </si>
  <si>
    <t>91:02:001013:7243</t>
  </si>
  <si>
    <t>8678-861-28-10</t>
  </si>
  <si>
    <t>91:02:001013:7244</t>
  </si>
  <si>
    <t>7978-746-47-39</t>
  </si>
  <si>
    <t>91:02:001013:7245</t>
  </si>
  <si>
    <t>91:02:001013:7246</t>
  </si>
  <si>
    <t>7978-543-32-96</t>
  </si>
  <si>
    <t>91:02:001013:7247</t>
  </si>
  <si>
    <t>Чунарев</t>
  </si>
  <si>
    <t>91:02:001013:7248</t>
  </si>
  <si>
    <t>91:02:001013:7249</t>
  </si>
  <si>
    <t>7978-245-69-76</t>
  </si>
  <si>
    <t>91:02:001013:7250</t>
  </si>
  <si>
    <t>8918-199-73-33</t>
  </si>
  <si>
    <t>91:02:001013:7251</t>
  </si>
  <si>
    <t>7978-748-87-93</t>
  </si>
  <si>
    <t>91:02:001013:7252</t>
  </si>
  <si>
    <t>91:02:001013:7253</t>
  </si>
  <si>
    <t>7 931 213 1737</t>
  </si>
  <si>
    <t>91:02:001013:7254</t>
  </si>
  <si>
    <t>91:02:001013:7255</t>
  </si>
  <si>
    <t>91:02:001013:7256</t>
  </si>
  <si>
    <t>91:02:001013:7257</t>
  </si>
  <si>
    <t>91:02:001013:7258</t>
  </si>
  <si>
    <t>7978-7447721</t>
  </si>
  <si>
    <t>91:02:001013:7259</t>
  </si>
  <si>
    <t>Пигарева</t>
  </si>
  <si>
    <t>91:02:001013:7260</t>
  </si>
  <si>
    <t>91:02:001013:7261</t>
  </si>
  <si>
    <t>7978-263-62-58</t>
  </si>
  <si>
    <t>91:02:001013:7262</t>
  </si>
  <si>
    <t>91:02:001013:7263</t>
  </si>
  <si>
    <t>91:02:001013:7264</t>
  </si>
  <si>
    <t>91:02:001013:7265</t>
  </si>
  <si>
    <t>7978-909-18-78</t>
  </si>
  <si>
    <t>91:02:001013:7266</t>
  </si>
  <si>
    <t>7978-057-31-07</t>
  </si>
  <si>
    <t>91:02:001013:7267</t>
  </si>
  <si>
    <t>7914-607-80-76</t>
  </si>
  <si>
    <t>91:02:001013:7268</t>
  </si>
  <si>
    <t>Камера</t>
  </si>
  <si>
    <t>телефон</t>
  </si>
  <si>
    <t>=+79002023500, 7917-425-00-52</t>
  </si>
  <si>
    <t>91:02:001013:7269</t>
  </si>
  <si>
    <t>Пигарева Любовь</t>
  </si>
  <si>
    <t>8978-165-34-46</t>
  </si>
  <si>
    <t>91:02:001013:7270</t>
  </si>
  <si>
    <t>91:02:001013:7271</t>
  </si>
  <si>
    <t>91:02:001013:7272</t>
  </si>
  <si>
    <t>79787093496</t>
  </si>
  <si>
    <t>91:02:001013:7273</t>
  </si>
  <si>
    <t>7918-050-21-03</t>
  </si>
  <si>
    <t>91:02:001013:7274</t>
  </si>
  <si>
    <t>7978-725-48-67</t>
  </si>
  <si>
    <t>91:02:001013:7275</t>
  </si>
  <si>
    <t>91:02:001013:7276</t>
  </si>
  <si>
    <t>7978-761-45-42</t>
  </si>
  <si>
    <t>91:02:001013:7277</t>
  </si>
  <si>
    <t>7978-044-54-37</t>
  </si>
  <si>
    <t>91:02:001013:7278</t>
  </si>
  <si>
    <t>Журавлёв Сергей Иванович Живут на маячной друзья</t>
  </si>
  <si>
    <t>79124159332</t>
  </si>
  <si>
    <t>91:02:001013:7279</t>
  </si>
  <si>
    <t>91:02:001013:7280</t>
  </si>
  <si>
    <t>7918-159-57-56</t>
  </si>
  <si>
    <t>91:02:001013:7281</t>
  </si>
  <si>
    <t>Наталья Ивановна</t>
  </si>
  <si>
    <t>79787254867</t>
  </si>
  <si>
    <t>91:02:001013:7282</t>
  </si>
  <si>
    <t>Владимир Викторович</t>
  </si>
  <si>
    <t>79787156281</t>
  </si>
  <si>
    <t>91:02:001013:7283</t>
  </si>
  <si>
    <t>Злобин Василий Васильевич</t>
  </si>
  <si>
    <t>8978-126-85-05</t>
  </si>
  <si>
    <t>91:02:001013:7284</t>
  </si>
  <si>
    <t>7978-455-05-75</t>
  </si>
  <si>
    <t>91:02:001013:7285</t>
  </si>
  <si>
    <t>Мария</t>
  </si>
  <si>
    <t>7978-766-97-59</t>
  </si>
  <si>
    <t>91:02:001013:7286</t>
  </si>
  <si>
    <t>7978-682-85-82</t>
  </si>
  <si>
    <t>91:02:001013:7287</t>
  </si>
  <si>
    <t>7978-768-37-89</t>
  </si>
  <si>
    <t>91:02:001013:7288</t>
  </si>
  <si>
    <t>7978-873-76-23</t>
  </si>
  <si>
    <t>91:02:001013:7289</t>
  </si>
  <si>
    <t>8978-037-35-08, 7978-215-81-12</t>
  </si>
  <si>
    <t>91:02:001013:7290</t>
  </si>
  <si>
    <t>7978-776-85-98</t>
  </si>
  <si>
    <t>91:02:001013:7291</t>
  </si>
  <si>
    <t>Опт +195, 197, 215</t>
  </si>
  <si>
    <t>91:02:001013:7292</t>
  </si>
  <si>
    <t>7978-748-79-53</t>
  </si>
  <si>
    <t>91:02:001013:7293</t>
  </si>
  <si>
    <t>79780445698</t>
  </si>
  <si>
    <t>91:02:001013:7294</t>
  </si>
  <si>
    <t>91:02:001013:7295</t>
  </si>
  <si>
    <t>7978-796-91-08</t>
  </si>
  <si>
    <t>91:02:001013:7296</t>
  </si>
  <si>
    <t>Терентьева +217</t>
  </si>
  <si>
    <t>79108235310</t>
  </si>
  <si>
    <t>91:02:001013:7297</t>
  </si>
  <si>
    <t>Злобин Василий Васильевич +27, 176</t>
  </si>
  <si>
    <t>91:02:001013:7298</t>
  </si>
  <si>
    <t>7978-818-95-55</t>
  </si>
  <si>
    <t>91:02:001013:7299</t>
  </si>
  <si>
    <t>7924-466-72-70</t>
  </si>
  <si>
    <t>91:02:001013:7300</t>
  </si>
  <si>
    <t>79787975022, 7914-197-02-25</t>
  </si>
  <si>
    <t>91:02:001013:7301</t>
  </si>
  <si>
    <t>7914-197-02-25</t>
  </si>
  <si>
    <t>91:02:001013:7302</t>
  </si>
  <si>
    <t>Опт</t>
  </si>
  <si>
    <t>7916-102-66-62</t>
  </si>
  <si>
    <t>91:02:001013:7303</t>
  </si>
  <si>
    <t>91:02:001013:7304</t>
  </si>
  <si>
    <t>91:02:001013:7305</t>
  </si>
  <si>
    <t>7978-812-74-02</t>
  </si>
  <si>
    <t>91:02:001013:7306</t>
  </si>
  <si>
    <t>91:02:001013:7307</t>
  </si>
  <si>
    <t>7978-710-62-88</t>
  </si>
  <si>
    <t>91:02:001013:7308</t>
  </si>
  <si>
    <t>91:02:001013:7309</t>
  </si>
  <si>
    <t>7978-073-20-81</t>
  </si>
  <si>
    <t>91:02:001013:7310</t>
  </si>
  <si>
    <t>Лопашинский</t>
  </si>
  <si>
    <t>79789185656</t>
  </si>
  <si>
    <t>91:02:001013:7311</t>
  </si>
  <si>
    <t>79787280098, 7978-728-00-98</t>
  </si>
  <si>
    <t>91:02:001013:7312</t>
  </si>
  <si>
    <t>Инна Марковская +24 в Германии</t>
  </si>
  <si>
    <t>=+7 (904) 988-45-83</t>
  </si>
  <si>
    <t>91:02:001013:7313</t>
  </si>
  <si>
    <t>7978-045-40-71</t>
  </si>
  <si>
    <t>91:02:001013:7314</t>
  </si>
  <si>
    <t>91:02:001013:7315</t>
  </si>
  <si>
    <t>7978-587-48-57, 7978-587-48-57</t>
  </si>
  <si>
    <t>91:02:001013:7316</t>
  </si>
  <si>
    <t xml:space="preserve">Квач Надежда? </t>
  </si>
  <si>
    <t>8978-722-71-39</t>
  </si>
  <si>
    <t>91:02:001013:7317</t>
  </si>
  <si>
    <t>7982-534-10-00, +7 (982) 205-93-35</t>
  </si>
  <si>
    <t>91:02:001013:7318</t>
  </si>
  <si>
    <t>7982-534-10-00</t>
  </si>
  <si>
    <t>91:02:001013:7319</t>
  </si>
  <si>
    <t>8924-278-50-60, 7924-278-50-60</t>
  </si>
  <si>
    <t>91:02:001013:7320</t>
  </si>
  <si>
    <t>7978-710-11-07</t>
  </si>
  <si>
    <t>91:02:001013:7321</t>
  </si>
  <si>
    <t>Белышева Ольга</t>
  </si>
  <si>
    <t>79787237175</t>
  </si>
  <si>
    <t>91:02:001013:7322</t>
  </si>
  <si>
    <t>7978-509-82-19</t>
  </si>
  <si>
    <t>91:02:001013:7323</t>
  </si>
  <si>
    <t>79787125305</t>
  </si>
  <si>
    <t>91:02:001013:7324</t>
  </si>
  <si>
    <t>Терентьева +189</t>
  </si>
  <si>
    <t>91:02:001013:7325</t>
  </si>
  <si>
    <t>91:02:001013:7326</t>
  </si>
  <si>
    <t>79780287259</t>
  </si>
  <si>
    <t>91:02:001013:7327</t>
  </si>
  <si>
    <t>7978-042-09-72</t>
  </si>
  <si>
    <t>91:02:001013:7328</t>
  </si>
  <si>
    <t xml:space="preserve">Яковлев Илья собств. </t>
  </si>
  <si>
    <t>91:02:001013:7329</t>
  </si>
  <si>
    <t>Суркова Ольга</t>
  </si>
  <si>
    <t>7978-578-97-38, 7978-578-97-39</t>
  </si>
  <si>
    <t>91:02:001013:7330</t>
  </si>
  <si>
    <t>91:02:001013:7331</t>
  </si>
  <si>
    <t>91:02:001013:7332</t>
  </si>
  <si>
    <t>91:02:001013:7333</t>
  </si>
  <si>
    <t>7978-284-65-50</t>
  </si>
  <si>
    <t>91:02:001013:7334</t>
  </si>
  <si>
    <t>8918-249-59-32</t>
  </si>
  <si>
    <t>91:02:001013:7335</t>
  </si>
  <si>
    <t>Злата</t>
  </si>
  <si>
    <t>79788675300</t>
  </si>
  <si>
    <t>91:02:001013:7336</t>
  </si>
  <si>
    <t>Дарья</t>
  </si>
  <si>
    <t>7978-266-80-79</t>
  </si>
  <si>
    <t>Голосует электронно</t>
  </si>
  <si>
    <t>Руслана ИП кабзан</t>
  </si>
  <si>
    <t xml:space="preserve">79787306003 </t>
  </si>
  <si>
    <t>ООО сердолик Пинская Ирина</t>
  </si>
  <si>
    <t>Андрей</t>
  </si>
  <si>
    <t>7 978 767-97-99</t>
  </si>
  <si>
    <t>забрать 17 июля</t>
  </si>
  <si>
    <t>Оксана Владимировна. "Козырное бельё"</t>
  </si>
  <si>
    <t>79787655805</t>
  </si>
  <si>
    <t>Голд лук</t>
  </si>
  <si>
    <t>Anton</t>
  </si>
  <si>
    <t>Lavanda nails Алёна Юхневич</t>
  </si>
  <si>
    <t>Руслана собс. Музыка тела</t>
  </si>
  <si>
    <t>Номер</t>
  </si>
  <si>
    <t>Вопрос</t>
  </si>
  <si>
    <t xml:space="preserve">1. </t>
  </si>
  <si>
    <t>КАМЕРЫ. Установить камеры на 0 м этаже. Установить камеры в каждый лифт. Принять в состав общедомового имущества установленные камеры. Назначить ООО "Севдомофон" организацией обслуживающей камеры в подъезде. Установить стоимость обслуживания камер в соответствии с коммерческим предложением ООО "Севдомофон". Включить в платежное поручение обслуживание камер</t>
  </si>
  <si>
    <t xml:space="preserve">2. </t>
  </si>
  <si>
    <t>ВОДА. Установить кран в подсобное помещение в 3й подъезд 48/1 для доступа к общедомовой воде</t>
  </si>
  <si>
    <t>3</t>
  </si>
  <si>
    <t>ДОМОФОНЫ. Ограничить доступ во внутренний двор дома, с применением домофонного оборудования в единой сети, путем установки домофонов на все калитки.</t>
  </si>
  <si>
    <t>4</t>
  </si>
  <si>
    <r>
      <t xml:space="preserve">ДОМОФОНЫ. Назначить "Севдомофон" организацией обслуживающей домофоны. Включить в платежное поручение выставляемый </t>
    </r>
    <r>
      <rPr>
        <rFont val="&quot;Times New Roman&quot;, serif"/>
        <color rgb="FF1155CC"/>
        <sz val="13.0"/>
        <u/>
      </rPr>
      <t>ООО «Цифровые инновации»</t>
    </r>
    <r>
      <rPr>
        <rFont val="&quot;Times New Roman&quot;, serif"/>
        <color rgb="FF000000"/>
        <sz val="13.0"/>
      </rPr>
      <t xml:space="preserve"> обслуживание единой сети домофонов. Установить стоимость единой сети домофонов в соответствии с действующем тарифом ООО "Севдомофон". Договор обслуживания от ООО "Севдомофон" с тарифами прилагается к голосованию</t>
    </r>
  </si>
  <si>
    <t>5</t>
  </si>
  <si>
    <t>ВОРОТА. Ограничение въезда транспорта во внутренний двор (кроме транспорта законных владельцев помещений, карет скорой помощи, автотранспорта МЧС и др. экстренных служб) на придомовую территорию многоквартирного дома путем установки автоматических ворот и иных средств автоматики на земельном участке многоквартирных домов ПОР 48 и ПОР 48/1.</t>
  </si>
  <si>
    <t>6</t>
  </si>
  <si>
    <t>ВОРОТА. Наделить ООО “Управляющая компания Стрелецкая бухта” полномочиями по согласованию установки автоматических ворот, металлического забора и иных средств автоматики на земельном участке многоквартирного дома с органами государственной власти г. Севастополя.</t>
  </si>
  <si>
    <t>7</t>
  </si>
  <si>
    <t>ВОРОТА. Наделить ООО “Управляющая компания Стрелецкая бухта” полномочиями на заключение договора с подрядной организацией на монтаж автоматических ворот и иных средств автоматики.</t>
  </si>
  <si>
    <t>8</t>
  </si>
  <si>
    <r>
      <t xml:space="preserve">ВОРОТА. Наделить ООО “Управляющая компания Стрелецкая бухта” полномочиями по сбору с собственников помещений денежных средств на установку автоматических ворот и иных средств автоматики на придомовой территории ПОР 48 с подрядной организацией путем включения соответствующей графы в платежный документ, выставляемый </t>
    </r>
    <r>
      <rPr>
        <rFont val="&quot;Times New Roman&quot;, serif"/>
        <color rgb="FF1155CC"/>
        <sz val="13.0"/>
        <u/>
      </rPr>
      <t>ООО «Цифровые инновации»</t>
    </r>
    <r>
      <rPr>
        <rFont val="&quot;Times New Roman&quot;, serif"/>
        <color rgb="FF000000"/>
        <sz val="13.0"/>
      </rPr>
      <t xml:space="preserve"> собственникам помещений в размере, пропорциональном занимаемой собственником площади жилого/нежилого помещения.</t>
    </r>
  </si>
  <si>
    <t>9</t>
  </si>
  <si>
    <t>ВОРОТА. Наделить полномочиями совет дома на принятие решения об утверждении сметной стоимости автоматических ворот и иных средств автоматики, а также утверждении размера единовременной выплаты с квадратного метра</t>
  </si>
  <si>
    <t>10</t>
  </si>
  <si>
    <t>ВОРОТА. Включить в общедомовое имущество все ограждения, калитки и ворота с системой автоматики</t>
  </si>
  <si>
    <t>11</t>
  </si>
  <si>
    <t>МУСОРКА. Ограничить доступ к мусорным контейнерам расположенных по адресу ПОР 48</t>
  </si>
  <si>
    <t>12</t>
  </si>
  <si>
    <r>
      <t xml:space="preserve">МУСОРКА. Наделить ООО “Управляющая компания Стрелецкая бухта” полномочиями по единовременному сбору денежных средств с собственников помещений на установку домофонного оборудования на ограждения мусорных контейнеров по адресу ПОР 48 путем включения соответствующей графы в платежный документ, выставляемый </t>
    </r>
    <r>
      <rPr>
        <rFont val="&quot;Times New Roman&quot;, serif"/>
        <color rgb="FF1155CC"/>
        <sz val="13.0"/>
        <u/>
      </rPr>
      <t>ООО «Цифровые инновации»</t>
    </r>
    <r>
      <rPr>
        <rFont val="&quot;Times New Roman&quot;, serif"/>
        <color rgb="FF000000"/>
        <sz val="13.0"/>
      </rPr>
      <t>. Единовременный платеж 300р c квартиры.</t>
    </r>
  </si>
  <si>
    <t>13</t>
  </si>
  <si>
    <t>ПОДСОБНЫЕ ПОМЕЩЕНИЯ. Использовать общедомовые подсобные помещения для организации колясочной</t>
  </si>
  <si>
    <t>14</t>
  </si>
  <si>
    <t>БАННЕРЫ. Управляющая организация (на данный момент ООО “Управляющая компания Стрелецкая бухта”), от имени собственников помещений в МКД, уполномочены заключать договора на аренду общего имущества иными лицами, в целях размещения рекламных и других конструкций. Получаемый доход направляется на благоустройство домов и двора по адресу ПОР 48 и ПОР 48/1. Максимальный срок договора 6 месяцев, далее договор должен перезаключаться.</t>
  </si>
  <si>
    <t>15</t>
  </si>
  <si>
    <t>БАННЕРЫ. Наделить полномочиями председателя совета дома и/или совет дома на согласование мест размещения рекламных конструкций и заключенных договоров. Так же председатель совета дома и/или совет дома наделяется полномочиями на согласование цены за квадратный метр. В случае многочисленных жалоб, председатель совета дома и/или совет дома наделяется полномочиями не продлевать договор на размещение рекламной конструкции.</t>
  </si>
  <si>
    <t>Номер квартиры</t>
  </si>
  <si>
    <t>тип</t>
  </si>
  <si>
    <t>Типы</t>
  </si>
  <si>
    <t>жилого помещения</t>
  </si>
  <si>
    <t>нежилого помещения</t>
  </si>
  <si>
    <t>Кадастровый 1</t>
  </si>
  <si>
    <t>Кадастровый 2</t>
  </si>
  <si>
    <t>Кадастровый 3</t>
  </si>
  <si>
    <t>Кадастровый 4</t>
  </si>
  <si>
    <t>Кадастровый</t>
  </si>
  <si>
    <t>Квадратура 1</t>
  </si>
  <si>
    <t>Квадратура 2</t>
  </si>
  <si>
    <t>Квадратура 3</t>
  </si>
  <si>
    <t>Квадратура 4</t>
  </si>
  <si>
    <t>Начало день</t>
  </si>
  <si>
    <t>Начало месяц</t>
  </si>
  <si>
    <t>Конец день</t>
  </si>
  <si>
    <t>Конец месяц</t>
  </si>
  <si>
    <t>апреля</t>
  </si>
  <si>
    <t>июня</t>
  </si>
  <si>
    <t>РЕШЕНИЕ</t>
  </si>
  <si>
    <t>по вопросам повестки дня общего собрания собственников помещений многоквартирного дома, расположенного по адресу: г. Севастополь, пр-т Октябрьской революции 48 к.1</t>
  </si>
  <si>
    <t>______________________________________________________________________________________________</t>
  </si>
  <si>
    <t>(Ф.И.О, либо наименование юр. лица - собственника помещения)</t>
  </si>
  <si>
    <t>(ФИО представителя, действующего от имени собственника, при необходимости)</t>
  </si>
  <si>
    <t xml:space="preserve">общей площадью </t>
  </si>
  <si>
    <t>находящегося (нужное подчеркнуть и соответственно указать):</t>
  </si>
  <si>
    <t>- в совместной собственности</t>
  </si>
  <si>
    <t>- индивидуальной собственности</t>
  </si>
  <si>
    <t>- в долевой собственности: долями ___/___</t>
  </si>
  <si>
    <t xml:space="preserve">выданного </t>
  </si>
  <si>
    <t>«___» ____ ________</t>
  </si>
  <si>
    <t>(документ, подтверждающий право собственности)</t>
  </si>
  <si>
    <t>Документы, удостоверяющие личность физического лица, ОБЯЗАТЕЛЬНЫ для заполнения:</t>
  </si>
  <si>
    <t>Серия и номер паспорта ________________________ или СНИЛС № ____________________________</t>
  </si>
  <si>
    <t xml:space="preserve">                              ( 10 цифр паспорта) </t>
  </si>
  <si>
    <t>(11 цифр)</t>
  </si>
  <si>
    <t>Все данные с Решения бумажного бланка вносятся в систему ГИС ЖКХ. Без данных, удостоверяющих личность, бланк невозможно зарегистрировать в системе (кроме юридических лиц).</t>
  </si>
  <si>
    <t>Для организаций: ИНН _____________________, ОГРН _______________________________</t>
  </si>
  <si>
    <t>Форма проведения общего собрания: заочная форма с использованием системы ГИС ЖКХ.</t>
  </si>
  <si>
    <t>Для голосования онлайн:</t>
  </si>
  <si>
    <t>ВОПРОСЫ ГОЛОСОВАНИЯ:</t>
  </si>
  <si>
    <t>Решение:</t>
  </si>
  <si>
    <t>ЗА</t>
  </si>
  <si>
    <t>ПРОТИВ</t>
  </si>
  <si>
    <t>ВОЗДЕРЖАЛСЯ</t>
  </si>
  <si>
    <t>«___» ________ 2025 г. ___________ /________________________________/ № телефона___________________</t>
  </si>
  <si>
    <t xml:space="preserve">                                                            (подпись)              (Ф.И.О. собственника или его представителя)                                              (по желанию)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</si>
</sst>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"/>
  </numFmts>
  <fonts count="25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0.0"/>
      <color rgb="FF434343"/>
      <name val="Roboto"/>
    </font>
    <font>
      <b/>
      <sz val="10.0"/>
      <color rgb="FF000000"/>
      <name val="Arial"/>
    </font>
    <font>
      <b/>
      <sz val="10.0"/>
      <color theme="1"/>
      <name val="Arial"/>
      <scheme val="minor"/>
    </font>
    <font>
      <color theme="1"/>
      <name val="Arial"/>
    </font>
    <font>
      <color rgb="FF434343"/>
      <name val="Roboto"/>
    </font>
    <font>
      <color theme="1"/>
      <name val="Roboto"/>
    </font>
    <font>
      <color rgb="FF000000"/>
      <name val="Arial"/>
    </font>
    <font>
      <sz val="9.0"/>
      <color rgb="FF000000"/>
      <name val="&quot;Google Sans Mono&quot;"/>
    </font>
    <font>
      <sz val="13.0"/>
      <color rgb="FF000000"/>
      <name val="&quot;Times New Roman&quot;"/>
    </font>
    <font>
      <u/>
      <sz val="13.0"/>
      <color rgb="FF000000"/>
      <name val="&quot;Times New Roman&quot;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8.0"/>
      <color rgb="FF000000"/>
      <name val="Times New Roman"/>
    </font>
    <font>
      <sz val="8.0"/>
      <color rgb="FF000000"/>
      <name val="Times New Roman"/>
    </font>
    <font>
      <color rgb="FF000000"/>
      <name val="Times New Roman"/>
    </font>
    <font>
      <b/>
      <sz val="12.0"/>
      <color rgb="FF000000"/>
      <name val="&quot;Times New Roman&quot;"/>
    </font>
    <font>
      <color theme="1"/>
      <name val="Times New Roman"/>
    </font>
    <font>
      <b/>
      <sz val="11.0"/>
      <color rgb="FF000000"/>
      <name val="&quot;Times New Roman&quot;"/>
    </font>
    <font>
      <b/>
      <color theme="1"/>
      <name val="Arial"/>
      <scheme val="minor"/>
    </font>
    <font>
      <sz val="11.0"/>
      <color rgb="FF000000"/>
      <name val="&quot;Times New Roman&quot;"/>
    </font>
    <font>
      <sz val="8.0"/>
      <color rgb="FF000000"/>
      <name val="&quot;Times New Roman&quot;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BBBC"/>
        <bgColor rgb="FFF9BBBC"/>
      </patternFill>
    </fill>
    <fill>
      <patternFill patternType="solid">
        <fgColor rgb="FFE06666"/>
        <bgColor rgb="FFE06666"/>
      </patternFill>
    </fill>
    <fill>
      <patternFill patternType="solid">
        <fgColor rgb="FFBEFDBC"/>
        <bgColor rgb="FFBEFDBC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8F9FA"/>
        <bgColor rgb="FFF8F9FA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4" xfId="0" applyAlignment="1" applyFont="1" applyNumberFormat="1">
      <alignment shrinkToFit="0" vertical="top" wrapText="1"/>
    </xf>
    <xf borderId="0" fillId="0" fontId="2" numFmtId="0" xfId="0" applyAlignment="1" applyFont="1">
      <alignment shrinkToFit="0" vertical="center" wrapText="0"/>
    </xf>
    <xf borderId="0" fillId="3" fontId="3" numFmtId="49" xfId="0" applyAlignment="1" applyFill="1" applyFont="1" applyNumberFormat="1">
      <alignment readingOrder="0" shrinkToFit="0" vertical="top" wrapText="1"/>
    </xf>
    <xf borderId="0" fillId="3" fontId="1" numFmtId="49" xfId="0" applyAlignment="1" applyFont="1" applyNumberFormat="1">
      <alignment shrinkToFit="0" vertical="top" wrapText="1"/>
    </xf>
    <xf borderId="0" fillId="2" fontId="4" numFmtId="0" xfId="0" applyAlignment="1" applyFont="1">
      <alignment horizontal="left" readingOrder="0" shrinkToFit="0" vertical="top" wrapText="1"/>
    </xf>
    <xf borderId="0" fillId="4" fontId="1" numFmtId="0" xfId="0" applyAlignment="1" applyFill="1" applyFont="1">
      <alignment readingOrder="0" shrinkToFit="0" vertical="top" wrapText="1"/>
    </xf>
    <xf borderId="0" fillId="5" fontId="3" numFmtId="49" xfId="0" applyAlignment="1" applyFill="1" applyFont="1" applyNumberFormat="1">
      <alignment readingOrder="0" shrinkToFit="0" vertical="top" wrapText="1"/>
    </xf>
    <xf borderId="0" fillId="0" fontId="1" numFmtId="4" xfId="0" applyAlignment="1" applyFont="1" applyNumberFormat="1">
      <alignment readingOrder="0" shrinkToFit="0" vertical="top" wrapText="1"/>
    </xf>
    <xf borderId="0" fillId="3" fontId="1" numFmtId="49" xfId="0" applyAlignment="1" applyFont="1" applyNumberFormat="1">
      <alignment readingOrder="0" shrinkToFit="0" vertical="top" wrapText="1"/>
    </xf>
    <xf borderId="0" fillId="6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7" fontId="1" numFmtId="0" xfId="0" applyAlignment="1" applyFill="1" applyFont="1">
      <alignment readingOrder="0" shrinkToFit="0" vertical="top" wrapText="1"/>
    </xf>
    <xf borderId="0" fillId="8" fontId="1" numFmtId="0" xfId="0" applyAlignment="1" applyFill="1" applyFont="1">
      <alignment readingOrder="0" shrinkToFit="0" vertical="top" wrapText="1"/>
    </xf>
    <xf borderId="0" fillId="9" fontId="1" numFmtId="0" xfId="0" applyAlignment="1" applyFill="1" applyFont="1">
      <alignment readingOrder="0" shrinkToFit="0" vertical="top" wrapText="1"/>
    </xf>
    <xf borderId="0" fillId="5" fontId="0" numFmtId="49" xfId="0" applyAlignment="1" applyFont="1" applyNumberFormat="1">
      <alignment readingOrder="0" shrinkToFit="0" vertical="top" wrapText="1"/>
    </xf>
    <xf borderId="0" fillId="10" fontId="1" numFmtId="0" xfId="0" applyAlignment="1" applyFill="1" applyFont="1">
      <alignment readingOrder="0" shrinkToFit="0" vertical="top" wrapText="1"/>
    </xf>
    <xf borderId="0" fillId="5" fontId="4" numFmtId="49" xfId="0" applyAlignment="1" applyFont="1" applyNumberFormat="1">
      <alignment horizontal="left" readingOrder="0" shrinkToFit="0" vertical="top" wrapText="1"/>
    </xf>
    <xf borderId="0" fillId="11" fontId="1" numFmtId="0" xfId="0" applyAlignment="1" applyFill="1" applyFont="1">
      <alignment readingOrder="0" shrinkToFit="0" vertical="top" wrapText="1"/>
    </xf>
    <xf quotePrefix="1" borderId="0" fillId="5" fontId="3" numFmtId="49" xfId="0" applyAlignment="1" applyFont="1" applyNumberFormat="1">
      <alignment readingOrder="0" shrinkToFit="0" vertical="top" wrapText="1"/>
    </xf>
    <xf borderId="0" fillId="12" fontId="1" numFmtId="0" xfId="0" applyAlignment="1" applyFill="1" applyFont="1">
      <alignment readingOrder="0" shrinkToFit="0" vertical="top" wrapText="1"/>
    </xf>
    <xf borderId="0" fillId="5" fontId="1" numFmtId="49" xfId="0" applyAlignment="1" applyFont="1" applyNumberFormat="1">
      <alignment readingOrder="0" shrinkToFit="0" vertical="top" wrapText="1"/>
    </xf>
    <xf borderId="0" fillId="13" fontId="1" numFmtId="0" xfId="0" applyAlignment="1" applyFill="1" applyFont="1">
      <alignment readingOrder="0" shrinkToFit="0" vertical="top" wrapText="1"/>
    </xf>
    <xf borderId="0" fillId="2" fontId="0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shrinkToFit="0" vertical="top" wrapText="0"/>
    </xf>
    <xf borderId="0" fillId="0" fontId="1" numFmtId="0" xfId="0" applyFont="1"/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shrinkToFit="0" vertical="top" wrapText="0"/>
    </xf>
    <xf borderId="1" fillId="5" fontId="3" numFmtId="0" xfId="0" applyAlignment="1" applyBorder="1" applyFont="1">
      <alignment readingOrder="0" shrinkToFit="0" vertical="top" wrapText="0"/>
    </xf>
    <xf borderId="1" fillId="3" fontId="1" numFmtId="0" xfId="0" applyAlignment="1" applyBorder="1" applyFont="1">
      <alignment shrinkToFit="0" vertical="top" wrapText="0"/>
    </xf>
    <xf borderId="1" fillId="3" fontId="1" numFmtId="0" xfId="0" applyAlignment="1" applyBorder="1" applyFont="1">
      <alignment readingOrder="0" shrinkToFit="0" vertical="top" wrapText="0"/>
    </xf>
    <xf borderId="0" fillId="14" fontId="4" numFmtId="0" xfId="0" applyAlignment="1" applyFill="1" applyFont="1">
      <alignment horizontal="right" readingOrder="0" shrinkToFit="0" vertical="top" wrapText="0"/>
    </xf>
    <xf borderId="1" fillId="3" fontId="3" numFmtId="0" xfId="0" applyAlignment="1" applyBorder="1" applyFont="1">
      <alignment readingOrder="0" shrinkToFit="0" vertical="top" wrapText="0"/>
    </xf>
    <xf borderId="0" fillId="15" fontId="1" numFmtId="0" xfId="0" applyAlignment="1" applyFill="1" applyFont="1">
      <alignment readingOrder="0" shrinkToFit="0" vertical="top" wrapText="0"/>
    </xf>
    <xf borderId="0" fillId="5" fontId="1" numFmtId="0" xfId="0" applyAlignment="1" applyFont="1">
      <alignment readingOrder="0" shrinkToFit="0" vertical="top" wrapText="0"/>
    </xf>
    <xf borderId="1" fillId="3" fontId="5" numFmtId="0" xfId="0" applyAlignment="1" applyBorder="1" applyFont="1">
      <alignment readingOrder="0" shrinkToFit="0" vertical="top" wrapText="0"/>
    </xf>
    <xf borderId="1" fillId="3" fontId="6" numFmtId="0" xfId="0" applyAlignment="1" applyBorder="1" applyFont="1">
      <alignment shrinkToFit="0" vertical="top" wrapText="0"/>
    </xf>
    <xf borderId="1" fillId="5" fontId="5" numFmtId="0" xfId="0" applyAlignment="1" applyBorder="1" applyFont="1">
      <alignment readingOrder="0" shrinkToFit="0" vertical="top" wrapText="0"/>
    </xf>
    <xf borderId="0" fillId="4" fontId="1" numFmtId="0" xfId="0" applyAlignment="1" applyFont="1">
      <alignment readingOrder="0" shrinkToFit="0" vertical="top" wrapText="0"/>
    </xf>
    <xf borderId="0" fillId="3" fontId="1" numFmtId="0" xfId="0" applyAlignment="1" applyFont="1">
      <alignment readingOrder="0" shrinkToFit="0" vertical="top" wrapText="0"/>
    </xf>
    <xf borderId="0" fillId="0" fontId="0" numFmtId="0" xfId="0" applyAlignment="1" applyFont="1">
      <alignment readingOrder="0" shrinkToFit="0" vertical="top" wrapText="0"/>
    </xf>
    <xf borderId="1" fillId="5" fontId="1" numFmtId="0" xfId="0" applyAlignment="1" applyBorder="1" applyFont="1">
      <alignment readingOrder="0" shrinkToFit="0" vertical="top" wrapText="0"/>
    </xf>
    <xf borderId="1" fillId="5" fontId="3" numFmtId="0" xfId="0" applyAlignment="1" applyBorder="1" applyFont="1">
      <alignment shrinkToFit="0" vertical="top" wrapText="0"/>
    </xf>
    <xf borderId="1" fillId="5" fontId="1" numFmtId="0" xfId="0" applyAlignment="1" applyBorder="1" applyFont="1">
      <alignment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top" wrapText="0"/>
    </xf>
    <xf borderId="0" fillId="2" fontId="7" numFmtId="164" xfId="0" applyAlignment="1" applyFont="1" applyNumberFormat="1">
      <alignment shrinkToFit="0" vertical="bottom" wrapText="0"/>
    </xf>
    <xf quotePrefix="1" borderId="0" fillId="3" fontId="3" numFmtId="49" xfId="0" applyAlignment="1" applyFont="1" applyNumberFormat="1">
      <alignment readingOrder="0" shrinkToFit="0" vertical="top" wrapText="1"/>
    </xf>
    <xf borderId="0" fillId="14" fontId="7" numFmtId="164" xfId="0" applyAlignment="1" applyFont="1" applyNumberFormat="1">
      <alignment shrinkToFit="0" vertical="bottom" wrapText="0"/>
    </xf>
    <xf borderId="0" fillId="5" fontId="3" numFmtId="49" xfId="0" applyAlignment="1" applyFont="1" applyNumberFormat="1">
      <alignment readingOrder="0" shrinkToFit="0" vertical="top" wrapText="1"/>
    </xf>
    <xf borderId="0" fillId="3" fontId="1" numFmtId="49" xfId="0" applyAlignment="1" applyFont="1" applyNumberFormat="1">
      <alignment shrinkToFit="0" vertical="top" wrapText="1"/>
    </xf>
    <xf borderId="0" fillId="3" fontId="1" numFmtId="49" xfId="0" applyAlignment="1" applyFont="1" applyNumberFormat="1">
      <alignment readingOrder="0" shrinkToFit="0" vertical="top" wrapText="1"/>
    </xf>
    <xf borderId="0" fillId="14" fontId="4" numFmtId="0" xfId="0" applyAlignment="1" applyFont="1">
      <alignment horizontal="left" readingOrder="0" shrinkToFit="0" vertical="top" wrapText="1"/>
    </xf>
    <xf borderId="0" fillId="7" fontId="7" numFmtId="164" xfId="0" applyAlignment="1" applyFont="1" applyNumberFormat="1">
      <alignment horizontal="right" shrinkToFit="0" vertical="bottom" wrapText="0"/>
    </xf>
    <xf borderId="0" fillId="3" fontId="3" numFmtId="49" xfId="0" applyAlignment="1" applyFont="1" applyNumberFormat="1">
      <alignment readingOrder="0" shrinkToFit="0" vertical="top" wrapText="1"/>
    </xf>
    <xf borderId="0" fillId="5" fontId="1" numFmtId="49" xfId="0" applyAlignment="1" applyFont="1" applyNumberFormat="1">
      <alignment readingOrder="0" shrinkToFit="0" vertical="top" wrapText="1"/>
    </xf>
    <xf borderId="0" fillId="7" fontId="8" numFmtId="164" xfId="0" applyAlignment="1" applyFont="1" applyNumberFormat="1">
      <alignment horizontal="right" shrinkToFit="0" vertical="bottom" wrapText="0"/>
    </xf>
    <xf borderId="0" fillId="0" fontId="1" numFmtId="0" xfId="0" applyAlignment="1" applyFont="1">
      <alignment readingOrder="0" shrinkToFit="0" vertical="top" wrapText="0"/>
    </xf>
    <xf borderId="0" fillId="8" fontId="1" numFmtId="0" xfId="0" applyAlignment="1" applyFont="1">
      <alignment readingOrder="0" shrinkToFit="0" vertical="top" wrapText="0"/>
    </xf>
    <xf borderId="0" fillId="16" fontId="7" numFmtId="164" xfId="0" applyAlignment="1" applyFill="1" applyFont="1" applyNumberFormat="1">
      <alignment shrinkToFit="0" vertical="bottom" wrapText="0"/>
    </xf>
    <xf borderId="0" fillId="4" fontId="7" numFmtId="164" xfId="0" applyAlignment="1" applyFont="1" applyNumberFormat="1">
      <alignment shrinkToFit="0" vertical="bottom" wrapText="0"/>
    </xf>
    <xf borderId="0" fillId="17" fontId="1" numFmtId="0" xfId="0" applyAlignment="1" applyFill="1" applyFont="1">
      <alignment readingOrder="0" shrinkToFit="0" vertical="top" wrapText="0"/>
    </xf>
    <xf quotePrefix="1" borderId="0" fillId="3" fontId="1" numFmtId="49" xfId="0" applyAlignment="1" applyFont="1" applyNumberFormat="1">
      <alignment readingOrder="0" shrinkToFit="0" vertical="top" wrapText="1"/>
    </xf>
    <xf borderId="0" fillId="5" fontId="4" numFmtId="49" xfId="0" applyAlignment="1" applyFont="1" applyNumberFormat="1">
      <alignment horizontal="left" readingOrder="0" shrinkToFit="0" vertical="top" wrapText="1"/>
    </xf>
    <xf borderId="0" fillId="7" fontId="9" numFmtId="164" xfId="0" applyAlignment="1" applyFont="1" applyNumberFormat="1">
      <alignment horizontal="right" shrinkToFit="0" vertical="bottom" wrapText="0"/>
    </xf>
    <xf borderId="0" fillId="5" fontId="1" numFmtId="49" xfId="0" applyAlignment="1" applyFont="1" applyNumberFormat="1">
      <alignment shrinkToFit="0" vertical="top" wrapText="1"/>
    </xf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2" fontId="8" numFmtId="0" xfId="0" applyAlignment="1" applyFont="1">
      <alignment horizontal="left" readingOrder="0" shrinkToFit="0" vertical="center" wrapText="0"/>
    </xf>
    <xf borderId="0" fillId="7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4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2" fontId="8" numFmtId="49" xfId="0" applyAlignment="1" applyFont="1" applyNumberFormat="1">
      <alignment horizontal="left" readingOrder="0" shrinkToFit="0" vertical="center" wrapText="0"/>
    </xf>
    <xf borderId="0" fillId="2" fontId="10" numFmtId="0" xfId="0" applyAlignment="1" applyFont="1">
      <alignment horizontal="left" readingOrder="0"/>
    </xf>
    <xf borderId="0" fillId="2" fontId="11" numFmtId="0" xfId="0" applyFont="1"/>
    <xf borderId="0" fillId="0" fontId="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2" numFmtId="49" xfId="0" applyAlignment="1" applyFont="1" applyNumberForma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3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4" numFmtId="0" xfId="0" applyAlignment="1" applyFon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0" fillId="0" fontId="16" numFmtId="0" xfId="0" applyAlignment="1" applyFont="1">
      <alignment horizontal="center" readingOrder="0" shrinkToFit="0" vertical="top" wrapText="1"/>
    </xf>
    <xf borderId="0" fillId="0" fontId="17" numFmtId="0" xfId="0" applyAlignment="1" applyFont="1">
      <alignment horizontal="center" readingOrder="0" shrinkToFit="0" vertical="top" wrapText="1"/>
    </xf>
    <xf borderId="0" fillId="0" fontId="15" numFmtId="3" xfId="0" applyAlignment="1" applyFont="1" applyNumberFormat="1">
      <alignment horizontal="left" readingOrder="0" shrinkToFit="0" wrapText="1"/>
    </xf>
    <xf borderId="0" fillId="0" fontId="15" numFmtId="0" xfId="0" applyAlignment="1" applyFont="1">
      <alignment horizontal="right" readingOrder="0" shrinkToFit="0" wrapText="1"/>
    </xf>
    <xf borderId="0" fillId="0" fontId="18" numFmtId="0" xfId="0" applyAlignment="1" applyFont="1">
      <alignment readingOrder="0" shrinkToFit="0" vertical="bottom" wrapText="1"/>
    </xf>
    <xf borderId="0" fillId="0" fontId="18" numFmtId="0" xfId="0" applyAlignment="1" applyFont="1">
      <alignment shrinkToFit="0" vertical="bottom" wrapText="1"/>
    </xf>
    <xf borderId="0" fillId="0" fontId="14" numFmtId="0" xfId="0" applyAlignment="1" applyFont="1">
      <alignment readingOrder="0" shrinkToFit="0" wrapText="1"/>
    </xf>
    <xf borderId="0" fillId="0" fontId="19" numFmtId="0" xfId="0" applyFont="1"/>
    <xf borderId="0" fillId="0" fontId="20" numFmtId="0" xfId="0" applyFont="1"/>
    <xf borderId="0" fillId="0" fontId="14" numFmtId="0" xfId="0" applyAlignment="1" applyFont="1">
      <alignment readingOrder="0"/>
    </xf>
    <xf borderId="0" fillId="0" fontId="21" numFmtId="0" xfId="0" applyAlignment="1" applyFont="1">
      <alignment shrinkToFit="0" vertical="top" wrapText="1"/>
    </xf>
    <xf borderId="0" fillId="0" fontId="22" numFmtId="0" xfId="0" applyAlignment="1" applyFont="1">
      <alignment shrinkToFit="0" wrapText="1"/>
    </xf>
    <xf borderId="0" fillId="0" fontId="22" numFmtId="0" xfId="0" applyFont="1"/>
    <xf borderId="1" fillId="0" fontId="2" numFmtId="0" xfId="0" applyBorder="1" applyFont="1"/>
    <xf borderId="0" fillId="0" fontId="21" numFmtId="0" xfId="0" applyAlignment="1" applyFont="1">
      <alignment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23" numFmtId="0" xfId="0" applyAlignment="1" applyFont="1">
      <alignment readingOrder="0" shrinkToFit="0" wrapText="1"/>
    </xf>
    <xf borderId="0" fillId="0" fontId="22" numFmtId="49" xfId="0" applyAlignment="1" applyFont="1" applyNumberFormat="1">
      <alignment readingOrder="0" shrinkToFit="0" vertical="top" wrapText="1"/>
    </xf>
    <xf borderId="0" fillId="0" fontId="23" numFmtId="0" xfId="0" applyAlignment="1" applyFont="1">
      <alignment horizontal="left" shrinkToFit="0" vertical="top" wrapText="1"/>
    </xf>
    <xf borderId="0" fillId="0" fontId="21" numFmtId="0" xfId="0" applyAlignment="1" applyFont="1">
      <alignment shrinkToFit="0" vertical="top" wrapText="1"/>
    </xf>
    <xf borderId="0" fillId="0" fontId="21" numFmtId="49" xfId="0" applyAlignment="1" applyFont="1" applyNumberFormat="1">
      <alignment shrinkToFit="0" vertical="top" wrapText="1"/>
    </xf>
    <xf borderId="0" fillId="0" fontId="22" numFmtId="0" xfId="0" applyAlignment="1" applyFont="1">
      <alignment readingOrder="0" vertical="top"/>
    </xf>
    <xf borderId="0" fillId="0" fontId="21" numFmtId="0" xfId="0" applyAlignment="1" applyFont="1">
      <alignment vertical="top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 vertical="bottom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1F3F4"/>
          <bgColor rgb="FFF1F3F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0">
    <tableStyle count="5" pivot="0" name="Подъезд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Подъезд 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Подъезд 3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5" pivot="0" name="Офисы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  <tableStyle count="4" pivot="0" name="Вопросы-style">
      <tableStyleElement dxfId="1" type="headerRow"/>
      <tableStyleElement dxfId="2" type="firstRowStripe"/>
      <tableStyleElement dxfId="8" type="secondRowStripe"/>
      <tableStyleElement dxfId="5" size="0" type="wholeTable"/>
    </tableStyle>
    <tableStyle count="4" pivot="0" name="Настройка-style">
      <tableStyleElement dxfId="1" type="headerRow"/>
      <tableStyleElement dxfId="2" type="firstRowStripe"/>
      <tableStyleElement dxfId="8" type="secondRowStripe"/>
      <tableStyleElement dxfId="5" size="0" type="wholeTable"/>
    </tableStyle>
    <tableStyle count="4" pivot="0" name="Настройка-style 2">
      <tableStyleElement dxfId="1" type="headerRow"/>
      <tableStyleElement dxfId="2" type="firstRowStripe"/>
      <tableStyleElement dxfId="8" type="secondRowStripe"/>
      <tableStyleElement dxfId="5" size="0" type="wholeTable"/>
    </tableStyle>
    <tableStyle count="4" pivot="0" name="Настройка-style 3">
      <tableStyleElement dxfId="1" type="headerRow"/>
      <tableStyleElement dxfId="2" type="firstRowStripe"/>
      <tableStyleElement dxfId="8" type="secondRowStripe"/>
      <tableStyleElement dxfId="5" size="0" type="wholeTable"/>
    </tableStyle>
    <tableStyle count="4" pivot="0" name="Настройка-style 4">
      <tableStyleElement dxfId="1" type="headerRow"/>
      <tableStyleElement dxfId="2" type="firstRowStripe"/>
      <tableStyleElement dxfId="8" type="secondRowStripe"/>
      <tableStyleElement dxfId="5" size="0" type="wholeTable"/>
    </tableStyle>
    <tableStyle count="4" pivot="0" name="Настройка-style 5">
      <tableStyleElement dxfId="1" type="headerRow"/>
      <tableStyleElement dxfId="2" type="firstRowStripe"/>
      <tableStyleElement dxfId="8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21</xdr:row>
      <xdr:rowOff>200025</xdr:rowOff>
    </xdr:from>
    <xdr:ext cx="5334000" cy="1019175"/>
    <xdr:grpSp>
      <xdr:nvGrpSpPr>
        <xdr:cNvPr id="2" name="Shape 2" title="Рисунок"/>
        <xdr:cNvGrpSpPr/>
      </xdr:nvGrpSpPr>
      <xdr:grpSpPr>
        <a:xfrm>
          <a:off x="0" y="0"/>
          <a:ext cx="9829800" cy="1885950"/>
          <a:chOff x="0" y="0"/>
          <a:chExt cx="9829800" cy="18859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0" y="0"/>
            <a:ext cx="9829800" cy="18859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I82" displayName="Подъезд1" name="Подъезд1" id="1">
  <tableColumns count="9">
    <tableColumn name="Этаж" id="1"/>
    <tableColumn name="# квартиры" id="2"/>
    <tableColumn name="каддастровый номер" id="3"/>
    <tableColumn totalsRowFunction="custom" name="Площадь" id="4"/>
    <tableColumn totalsRowFunction="custom" name="Электронно" id="5"/>
    <tableColumn totalsRowFunction="custom" name="Бланк" id="6"/>
    <tableColumn name="ФИО" id="7"/>
    <tableColumn name="камеры" id="8"/>
    <tableColumn name="Телефон" id="9"/>
  </tableColumns>
  <tableStyleInfo name="Подъезд 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I82" displayName="Подъезд2" name="Подъезд2" id="2">
  <tableColumns count="9">
    <tableColumn name="Этаж" id="1"/>
    <tableColumn name="# квартиры" id="2"/>
    <tableColumn name="каддастровый номер" id="3"/>
    <tableColumn totalsRowFunction="custom" name="Квадратура" id="4"/>
    <tableColumn totalsRowFunction="custom" name="Электронно" id="5"/>
    <tableColumn totalsRowFunction="custom" name="Бланк" id="6"/>
    <tableColumn name="ФИО" id="7"/>
    <tableColumn name="Камеры" id="8"/>
    <tableColumn name="Телефон" id="9"/>
  </tableColumns>
  <tableStyleInfo name="Подъезд 2-style" showColumnStripes="0" showFirstColumn="1" showLastColumn="1" showRowStripes="1"/>
</table>
</file>

<file path=xl/tables/table3.xml><?xml version="1.0" encoding="utf-8"?>
<table xmlns="http://schemas.openxmlformats.org/spreadsheetml/2006/main" totalsRowCount="1" ref="A1:I71" displayName="Подъезд3" name="Подъезд3" id="3">
  <tableColumns count="9">
    <tableColumn name="Этаж" id="1"/>
    <tableColumn name="# квартиры" id="2"/>
    <tableColumn name="каддастровый номер" id="3"/>
    <tableColumn totalsRowFunction="custom" name="Квадратура" id="4"/>
    <tableColumn totalsRowFunction="custom" name="Электронно" id="5"/>
    <tableColumn totalsRowFunction="custom" name="Бланк" id="6"/>
    <tableColumn name="ФИО" id="7"/>
    <tableColumn totalsRowFunction="custom" name="Камера" id="8"/>
    <tableColumn name="телефон" id="9"/>
  </tableColumns>
  <tableStyleInfo name="Подъезд 3-style" showColumnStripes="0" showFirstColumn="1" showLastColumn="1" showRowStripes="1"/>
</table>
</file>

<file path=xl/tables/table4.xml><?xml version="1.0" encoding="utf-8"?>
<table xmlns="http://schemas.openxmlformats.org/spreadsheetml/2006/main" totalsRowCount="1" ref="A1:G35" displayName="Офисы" name="Офисы" id="4">
  <tableColumns count="7">
    <tableColumn name="# квартиры" id="1"/>
    <tableColumn name="каддастровый номер" id="2"/>
    <tableColumn totalsRowFunction="custom" name="Квадратура" id="3"/>
    <tableColumn totalsRowFunction="custom" name="Голосует электронно" id="4"/>
    <tableColumn totalsRowFunction="custom" name="Бланк" id="5"/>
    <tableColumn name="ФИО" id="6"/>
    <tableColumn name="Телефон" id="7"/>
  </tableColumns>
  <tableStyleInfo name="Офисы-style" showColumnStripes="0" showFirstColumn="1" showLastColumn="1" showRowStripes="1"/>
</table>
</file>

<file path=xl/tables/table5.xml><?xml version="1.0" encoding="utf-8"?>
<table xmlns="http://schemas.openxmlformats.org/spreadsheetml/2006/main" ref="A1:B16" displayName="Вопросы" name="Вопросы" id="5">
  <tableColumns count="2">
    <tableColumn name="Номер" id="1"/>
    <tableColumn name="Вопрос" id="2"/>
  </tableColumns>
  <tableStyleInfo name="Вопросы-style" showColumnStripes="0" showFirstColumn="1" showLastColumn="1" showRowStripes="1"/>
</table>
</file>

<file path=xl/tables/table6.xml><?xml version="1.0" encoding="utf-8"?>
<table xmlns="http://schemas.openxmlformats.org/spreadsheetml/2006/main" ref="A1:B2" displayName="Кватрира" name="Кватрира" id="6">
  <tableColumns count="2">
    <tableColumn name="Номер квартиры" id="1"/>
    <tableColumn name="тип" id="2"/>
  </tableColumns>
  <tableStyleInfo name="Настройка-style" showColumnStripes="0" showFirstColumn="1" showLastColumn="1" showRowStripes="1"/>
</table>
</file>

<file path=xl/tables/table7.xml><?xml version="1.0" encoding="utf-8"?>
<table xmlns="http://schemas.openxmlformats.org/spreadsheetml/2006/main" ref="G1:G3" displayName="Типы" name="Типы" id="7">
  <tableColumns count="1">
    <tableColumn name="Типы" id="1"/>
  </tableColumns>
  <tableStyleInfo name="Настройка-style 2" showColumnStripes="0" showFirstColumn="1" showLastColumn="1" showRowStripes="1"/>
</table>
</file>

<file path=xl/tables/table8.xml><?xml version="1.0" encoding="utf-8"?>
<table xmlns="http://schemas.openxmlformats.org/spreadsheetml/2006/main" ref="A6:E7" displayName="Кадастровый" name="Кадастровый" id="8">
  <tableColumns count="5">
    <tableColumn name="Кадастровый 1" id="1"/>
    <tableColumn name="Кадастровый 2" id="2"/>
    <tableColumn name="Кадастровый 3" id="3"/>
    <tableColumn name="Кадастровый 4" id="4"/>
    <tableColumn name="Кадастровый" id="5"/>
  </tableColumns>
  <tableStyleInfo name="Настройка-style 3" showColumnStripes="0" showFirstColumn="1" showLastColumn="1" showRowStripes="1"/>
</table>
</file>

<file path=xl/tables/table9.xml><?xml version="1.0" encoding="utf-8"?>
<table xmlns="http://schemas.openxmlformats.org/spreadsheetml/2006/main" ref="A11:E12" displayName="Квадратура" name="Квадратура" id="9">
  <tableColumns count="5">
    <tableColumn name="Квадратура 1" id="1"/>
    <tableColumn name="Квадратура 2" id="2"/>
    <tableColumn name="Квадратура 3" id="3"/>
    <tableColumn name="Квадратура 4" id="4"/>
    <tableColumn name="Квадратура" id="5"/>
  </tableColumns>
  <tableStyleInfo name="Настройка-style 4" showColumnStripes="0" showFirstColumn="1" showLastColumn="1" showRowStripes="1"/>
</table>
</file>

<file path=xl/tables/table10.xml><?xml version="1.0" encoding="utf-8"?>
<table xmlns="http://schemas.openxmlformats.org/spreadsheetml/2006/main" ref="A18:D19" displayName="Даты" name="Даты" id="10">
  <tableColumns count="4">
    <tableColumn name="Начало день" id="1"/>
    <tableColumn name="Начало месяц" id="2"/>
    <tableColumn name="Конец день" id="3"/>
    <tableColumn name="Конец месяц" id="4"/>
  </tableColumns>
  <tableStyleInfo name="Настройка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-sev.ru/" TargetMode="External"/><Relationship Id="rId2" Type="http://schemas.openxmlformats.org/officeDocument/2006/relationships/hyperlink" Target="https://e-sev.ru/" TargetMode="External"/><Relationship Id="rId3" Type="http://schemas.openxmlformats.org/officeDocument/2006/relationships/hyperlink" Target="https://e-sev.ru/" TargetMode="External"/><Relationship Id="rId4" Type="http://schemas.openxmlformats.org/officeDocument/2006/relationships/drawing" Target="../drawings/drawing5.xml"/><Relationship Id="rId6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7.5"/>
    <col customWidth="1" min="3" max="3" width="21.13"/>
    <col customWidth="1" min="4" max="4" width="8.75"/>
    <col customWidth="1" min="5" max="5" width="10.13"/>
    <col customWidth="1" min="6" max="6" width="7.88"/>
    <col customWidth="1" min="7" max="7" width="27.13"/>
    <col customWidth="1" min="8" max="8" width="6.5"/>
    <col customWidth="1" min="9" max="9" width="14.75"/>
    <col customWidth="1" min="10" max="10" width="17.5"/>
    <col customWidth="1" min="11" max="11" width="21.63"/>
    <col customWidth="1" min="12" max="12" width="26.63"/>
    <col customWidth="1" min="13" max="13" width="15.75"/>
    <col customWidth="1" min="14" max="14" width="32.13"/>
  </cols>
  <sheetData>
    <row r="1" ht="48.7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5" t="s">
        <v>7</v>
      </c>
      <c r="I1" s="6" t="s">
        <v>8</v>
      </c>
    </row>
    <row r="2" ht="67.5" customHeight="1">
      <c r="A2" s="7">
        <v>1.0</v>
      </c>
      <c r="B2" s="8">
        <v>1.0</v>
      </c>
      <c r="C2" s="9" t="s">
        <v>9</v>
      </c>
      <c r="D2" s="10"/>
      <c r="E2" s="11"/>
      <c r="F2" s="10"/>
      <c r="G2" s="9"/>
      <c r="H2" s="12"/>
      <c r="I2" s="13" t="s">
        <v>10</v>
      </c>
    </row>
    <row r="3" ht="67.5" customHeight="1">
      <c r="A3" s="7">
        <v>1.0</v>
      </c>
      <c r="B3" s="8">
        <v>2.0</v>
      </c>
      <c r="C3" s="9" t="s">
        <v>11</v>
      </c>
      <c r="D3" s="9">
        <v>42.0</v>
      </c>
      <c r="E3" s="11"/>
      <c r="F3" s="9">
        <v>1.0</v>
      </c>
      <c r="G3" s="9" t="s">
        <v>12</v>
      </c>
      <c r="H3" s="12"/>
      <c r="I3" s="14"/>
    </row>
    <row r="4" ht="67.5" customHeight="1">
      <c r="A4" s="7">
        <v>1.0</v>
      </c>
      <c r="B4" s="8">
        <v>3.0</v>
      </c>
      <c r="C4" s="9" t="s">
        <v>13</v>
      </c>
      <c r="D4" s="9">
        <v>59.0</v>
      </c>
      <c r="E4" s="11"/>
      <c r="F4" s="9">
        <v>1.0</v>
      </c>
      <c r="G4" s="15" t="s">
        <v>12</v>
      </c>
      <c r="H4" s="12"/>
      <c r="I4" s="14"/>
    </row>
    <row r="5" ht="67.5" customHeight="1">
      <c r="A5" s="7">
        <v>1.0</v>
      </c>
      <c r="B5" s="16">
        <v>4.0</v>
      </c>
      <c r="C5" s="9" t="s">
        <v>14</v>
      </c>
      <c r="D5" s="9">
        <v>41.3</v>
      </c>
      <c r="E5" s="11"/>
      <c r="F5" s="9">
        <v>1.0</v>
      </c>
      <c r="G5" s="9" t="s">
        <v>15</v>
      </c>
      <c r="H5" s="12"/>
      <c r="I5" s="17" t="s">
        <v>16</v>
      </c>
    </row>
    <row r="6" ht="67.5" customHeight="1">
      <c r="A6" s="7">
        <v>1.0</v>
      </c>
      <c r="B6" s="8">
        <v>5.0</v>
      </c>
      <c r="C6" s="9" t="s">
        <v>17</v>
      </c>
      <c r="D6" s="9">
        <v>61.8</v>
      </c>
      <c r="E6" s="18"/>
      <c r="F6" s="9">
        <v>1.0</v>
      </c>
      <c r="G6" s="9" t="s">
        <v>18</v>
      </c>
      <c r="H6" s="12"/>
      <c r="I6" s="14"/>
    </row>
    <row r="7" ht="67.5" customHeight="1">
      <c r="A7" s="7">
        <v>1.0</v>
      </c>
      <c r="B7" s="8">
        <v>6.0</v>
      </c>
      <c r="C7" s="9" t="s">
        <v>19</v>
      </c>
      <c r="D7" s="9">
        <v>97.6</v>
      </c>
      <c r="E7" s="18">
        <v>1.0</v>
      </c>
      <c r="F7" s="9"/>
      <c r="G7" s="9" t="s">
        <v>20</v>
      </c>
      <c r="H7" s="12"/>
      <c r="I7" s="17" t="s">
        <v>21</v>
      </c>
    </row>
    <row r="8" ht="67.5" customHeight="1">
      <c r="A8" s="7">
        <v>1.0</v>
      </c>
      <c r="B8" s="16">
        <v>7.0</v>
      </c>
      <c r="C8" s="9" t="s">
        <v>22</v>
      </c>
      <c r="D8" s="9">
        <v>59.1</v>
      </c>
      <c r="E8" s="11"/>
      <c r="F8" s="9">
        <v>1.0</v>
      </c>
      <c r="G8" s="9" t="s">
        <v>23</v>
      </c>
      <c r="H8" s="12"/>
      <c r="I8" s="19" t="s">
        <v>24</v>
      </c>
    </row>
    <row r="9" ht="67.5" customHeight="1">
      <c r="A9" s="7">
        <v>1.0</v>
      </c>
      <c r="B9" s="8">
        <v>8.0</v>
      </c>
      <c r="C9" s="9" t="s">
        <v>25</v>
      </c>
      <c r="D9" s="9">
        <v>51.9</v>
      </c>
      <c r="E9" s="11"/>
      <c r="F9" s="9">
        <v>1.0</v>
      </c>
      <c r="G9" s="10"/>
      <c r="H9" s="12"/>
      <c r="I9" s="17" t="s">
        <v>26</v>
      </c>
    </row>
    <row r="10" ht="67.5" customHeight="1">
      <c r="A10" s="20">
        <v>2.0</v>
      </c>
      <c r="B10" s="8">
        <v>9.0</v>
      </c>
      <c r="C10" s="9" t="s">
        <v>27</v>
      </c>
      <c r="D10" s="10"/>
      <c r="E10" s="18"/>
      <c r="F10" s="10"/>
      <c r="G10" s="21"/>
      <c r="H10" s="12"/>
      <c r="I10" s="14"/>
    </row>
    <row r="11" ht="67.5" customHeight="1">
      <c r="A11" s="20">
        <v>2.0</v>
      </c>
      <c r="B11" s="22">
        <v>10.0</v>
      </c>
      <c r="C11" s="9" t="s">
        <v>28</v>
      </c>
      <c r="D11" s="9">
        <v>41.9</v>
      </c>
      <c r="E11" s="11"/>
      <c r="F11" s="9">
        <v>1.0</v>
      </c>
      <c r="G11" s="9" t="s">
        <v>29</v>
      </c>
      <c r="H11" s="12"/>
      <c r="I11" s="14"/>
    </row>
    <row r="12" ht="67.5" customHeight="1">
      <c r="A12" s="20">
        <v>2.0</v>
      </c>
      <c r="B12" s="8">
        <v>11.0</v>
      </c>
      <c r="C12" s="9" t="s">
        <v>30</v>
      </c>
      <c r="D12" s="9">
        <v>58.5</v>
      </c>
      <c r="E12" s="11"/>
      <c r="F12" s="9">
        <v>1.0</v>
      </c>
      <c r="G12" s="10"/>
      <c r="H12" s="12"/>
      <c r="I12" s="17" t="s">
        <v>31</v>
      </c>
    </row>
    <row r="13" ht="67.5" customHeight="1">
      <c r="A13" s="20">
        <v>2.0</v>
      </c>
      <c r="B13" s="8">
        <v>12.0</v>
      </c>
      <c r="C13" s="9" t="s">
        <v>32</v>
      </c>
      <c r="D13" s="10"/>
      <c r="E13" s="11"/>
      <c r="F13" s="10"/>
      <c r="G13" s="10"/>
      <c r="H13" s="12"/>
      <c r="I13" s="17" t="s">
        <v>33</v>
      </c>
    </row>
    <row r="14" ht="67.5" customHeight="1">
      <c r="A14" s="20">
        <v>2.0</v>
      </c>
      <c r="B14" s="8">
        <v>13.0</v>
      </c>
      <c r="C14" s="9" t="s">
        <v>34</v>
      </c>
      <c r="D14" s="9">
        <v>61.2</v>
      </c>
      <c r="E14" s="11"/>
      <c r="F14" s="9">
        <v>1.0</v>
      </c>
      <c r="G14" s="10"/>
      <c r="H14" s="12"/>
      <c r="I14" s="17" t="s">
        <v>35</v>
      </c>
    </row>
    <row r="15" ht="67.5" customHeight="1">
      <c r="A15" s="20">
        <v>2.0</v>
      </c>
      <c r="B15" s="8">
        <v>14.0</v>
      </c>
      <c r="C15" s="9" t="s">
        <v>36</v>
      </c>
      <c r="D15" s="10"/>
      <c r="E15" s="11"/>
      <c r="F15" s="10"/>
      <c r="G15" s="10"/>
      <c r="H15" s="12"/>
      <c r="I15" s="14"/>
    </row>
    <row r="16" ht="67.5" customHeight="1">
      <c r="A16" s="20">
        <v>2.0</v>
      </c>
      <c r="B16" s="8">
        <v>15.0</v>
      </c>
      <c r="C16" s="9" t="s">
        <v>37</v>
      </c>
      <c r="D16" s="9">
        <v>0.0</v>
      </c>
      <c r="E16" s="11"/>
      <c r="F16" s="9"/>
      <c r="G16" s="10"/>
      <c r="H16" s="12"/>
      <c r="I16" s="17" t="s">
        <v>38</v>
      </c>
    </row>
    <row r="17" ht="67.5" customHeight="1">
      <c r="A17" s="20">
        <v>2.0</v>
      </c>
      <c r="B17" s="23">
        <v>16.0</v>
      </c>
      <c r="C17" s="9" t="s">
        <v>39</v>
      </c>
      <c r="D17" s="9"/>
      <c r="E17" s="11"/>
      <c r="F17" s="9">
        <v>1.0</v>
      </c>
      <c r="G17" s="9" t="s">
        <v>40</v>
      </c>
      <c r="H17" s="12"/>
      <c r="I17" s="14"/>
    </row>
    <row r="18" ht="67.5" customHeight="1">
      <c r="A18" s="24">
        <v>3.0</v>
      </c>
      <c r="B18" s="8">
        <v>17.0</v>
      </c>
      <c r="C18" s="9" t="s">
        <v>41</v>
      </c>
      <c r="D18" s="10"/>
      <c r="E18" s="11"/>
      <c r="F18" s="10"/>
      <c r="G18" s="10"/>
      <c r="H18" s="12"/>
      <c r="I18" s="17" t="s">
        <v>42</v>
      </c>
    </row>
    <row r="19" ht="67.5" customHeight="1">
      <c r="A19" s="24">
        <v>3.0</v>
      </c>
      <c r="B19" s="8">
        <v>18.0</v>
      </c>
      <c r="C19" s="9" t="s">
        <v>43</v>
      </c>
      <c r="D19" s="9"/>
      <c r="E19" s="11"/>
      <c r="F19" s="9">
        <v>0.0</v>
      </c>
      <c r="G19" s="9" t="s">
        <v>44</v>
      </c>
      <c r="H19" s="12"/>
      <c r="I19" s="17" t="s">
        <v>45</v>
      </c>
    </row>
    <row r="20" ht="67.5" customHeight="1">
      <c r="A20" s="24">
        <v>3.0</v>
      </c>
      <c r="B20" s="8">
        <v>19.0</v>
      </c>
      <c r="C20" s="9" t="s">
        <v>46</v>
      </c>
      <c r="D20" s="9">
        <v>58.7</v>
      </c>
      <c r="E20" s="11"/>
      <c r="F20" s="9">
        <v>1.0</v>
      </c>
      <c r="G20" s="10"/>
      <c r="H20" s="12"/>
      <c r="I20" s="17" t="s">
        <v>47</v>
      </c>
    </row>
    <row r="21" ht="67.5" customHeight="1">
      <c r="A21" s="24">
        <v>3.0</v>
      </c>
      <c r="B21" s="8">
        <v>20.0</v>
      </c>
      <c r="C21" s="9" t="s">
        <v>48</v>
      </c>
      <c r="D21" s="9">
        <v>0.0</v>
      </c>
      <c r="E21" s="11"/>
      <c r="F21" s="9">
        <v>1.0</v>
      </c>
      <c r="G21" s="10"/>
      <c r="H21" s="12"/>
      <c r="I21" s="17" t="s">
        <v>49</v>
      </c>
    </row>
    <row r="22" ht="67.5" customHeight="1">
      <c r="A22" s="24">
        <v>3.0</v>
      </c>
      <c r="B22" s="8">
        <v>21.0</v>
      </c>
      <c r="C22" s="9" t="s">
        <v>50</v>
      </c>
      <c r="D22" s="9">
        <v>0.0</v>
      </c>
      <c r="E22" s="11"/>
      <c r="F22" s="9">
        <v>1.0</v>
      </c>
      <c r="G22" s="9"/>
      <c r="H22" s="12"/>
      <c r="I22" s="17" t="s">
        <v>51</v>
      </c>
    </row>
    <row r="23" ht="67.5" customHeight="1">
      <c r="A23" s="24">
        <v>3.0</v>
      </c>
      <c r="B23" s="8">
        <v>22.0</v>
      </c>
      <c r="C23" s="9" t="s">
        <v>52</v>
      </c>
      <c r="D23" s="10"/>
      <c r="E23" s="11"/>
      <c r="F23" s="10"/>
      <c r="G23" s="10"/>
      <c r="H23" s="12"/>
      <c r="I23" s="14"/>
    </row>
    <row r="24" ht="67.5" customHeight="1">
      <c r="A24" s="24">
        <v>3.0</v>
      </c>
      <c r="B24" s="8">
        <v>23.0</v>
      </c>
      <c r="C24" s="9" t="s">
        <v>53</v>
      </c>
      <c r="D24" s="9">
        <v>58.7</v>
      </c>
      <c r="E24" s="11"/>
      <c r="F24" s="9">
        <v>1.0</v>
      </c>
      <c r="G24" s="10"/>
      <c r="H24" s="12"/>
      <c r="I24" s="25" t="s">
        <v>54</v>
      </c>
    </row>
    <row r="25" ht="67.5" customHeight="1">
      <c r="A25" s="24">
        <v>3.0</v>
      </c>
      <c r="B25" s="8">
        <v>24.0</v>
      </c>
      <c r="C25" s="9" t="s">
        <v>55</v>
      </c>
      <c r="D25" s="10"/>
      <c r="E25" s="11"/>
      <c r="F25" s="10"/>
      <c r="G25" s="9" t="s">
        <v>56</v>
      </c>
      <c r="H25" s="12"/>
      <c r="I25" s="19">
        <f>+79049884583</f>
        <v>79049884583</v>
      </c>
    </row>
    <row r="26" ht="67.5" customHeight="1">
      <c r="A26" s="26">
        <v>4.0</v>
      </c>
      <c r="B26" s="8">
        <v>25.0</v>
      </c>
      <c r="C26" s="9" t="s">
        <v>57</v>
      </c>
      <c r="D26" s="9">
        <v>31.8</v>
      </c>
      <c r="E26" s="11"/>
      <c r="F26" s="9">
        <v>1.0</v>
      </c>
      <c r="G26" s="10"/>
      <c r="H26" s="12"/>
      <c r="I26" s="17" t="s">
        <v>58</v>
      </c>
    </row>
    <row r="27" ht="67.5" customHeight="1">
      <c r="A27" s="26">
        <v>4.0</v>
      </c>
      <c r="B27" s="8">
        <v>26.0</v>
      </c>
      <c r="C27" s="9" t="s">
        <v>59</v>
      </c>
      <c r="D27" s="9">
        <v>41.2</v>
      </c>
      <c r="E27" s="18"/>
      <c r="F27" s="9">
        <v>1.0</v>
      </c>
      <c r="G27" s="9" t="s">
        <v>60</v>
      </c>
      <c r="H27" s="12"/>
      <c r="I27" s="17" t="s">
        <v>61</v>
      </c>
    </row>
    <row r="28" ht="67.5" customHeight="1">
      <c r="A28" s="26">
        <v>4.0</v>
      </c>
      <c r="B28" s="8">
        <v>27.0</v>
      </c>
      <c r="C28" s="9" t="s">
        <v>62</v>
      </c>
      <c r="D28" s="9">
        <v>58.6</v>
      </c>
      <c r="E28" s="11"/>
      <c r="F28" s="9">
        <v>1.0</v>
      </c>
      <c r="G28" s="9" t="s">
        <v>63</v>
      </c>
      <c r="H28" s="12"/>
      <c r="I28" s="14"/>
    </row>
    <row r="29" ht="67.5" customHeight="1">
      <c r="A29" s="26">
        <v>4.0</v>
      </c>
      <c r="B29" s="8">
        <v>28.0</v>
      </c>
      <c r="C29" s="9" t="s">
        <v>64</v>
      </c>
      <c r="D29" s="9">
        <v>41.0</v>
      </c>
      <c r="E29" s="11"/>
      <c r="F29" s="9">
        <v>1.0</v>
      </c>
      <c r="G29" s="10"/>
      <c r="H29" s="12"/>
      <c r="I29" s="17" t="s">
        <v>65</v>
      </c>
    </row>
    <row r="30" ht="67.5" customHeight="1">
      <c r="A30" s="26">
        <v>4.0</v>
      </c>
      <c r="B30" s="23">
        <v>29.0</v>
      </c>
      <c r="C30" s="9" t="s">
        <v>66</v>
      </c>
      <c r="D30" s="9">
        <v>61.2</v>
      </c>
      <c r="E30" s="18"/>
      <c r="F30" s="9">
        <v>1.0</v>
      </c>
      <c r="G30" s="9" t="s">
        <v>67</v>
      </c>
      <c r="H30" s="12"/>
      <c r="I30" s="27" t="s">
        <v>68</v>
      </c>
    </row>
    <row r="31" ht="67.5" customHeight="1">
      <c r="A31" s="26">
        <v>4.0</v>
      </c>
      <c r="B31" s="8">
        <v>30.0</v>
      </c>
      <c r="C31" s="9" t="s">
        <v>69</v>
      </c>
      <c r="D31" s="9">
        <v>97.2</v>
      </c>
      <c r="E31" s="11"/>
      <c r="F31" s="9">
        <v>1.0</v>
      </c>
      <c r="G31" s="10"/>
      <c r="H31" s="12"/>
      <c r="I31" s="17" t="s">
        <v>70</v>
      </c>
    </row>
    <row r="32" ht="67.5" customHeight="1">
      <c r="A32" s="26">
        <v>4.0</v>
      </c>
      <c r="B32" s="8">
        <v>31.0</v>
      </c>
      <c r="C32" s="9" t="s">
        <v>71</v>
      </c>
      <c r="D32" s="9">
        <v>58.9</v>
      </c>
      <c r="E32" s="18">
        <v>1.0</v>
      </c>
      <c r="F32" s="10"/>
      <c r="G32" s="10"/>
      <c r="H32" s="12"/>
      <c r="I32" s="17" t="s">
        <v>72</v>
      </c>
    </row>
    <row r="33" ht="67.5" customHeight="1">
      <c r="A33" s="26">
        <v>4.0</v>
      </c>
      <c r="B33" s="8">
        <v>32.0</v>
      </c>
      <c r="C33" s="9" t="s">
        <v>73</v>
      </c>
      <c r="D33" s="9">
        <v>51.4</v>
      </c>
      <c r="E33" s="18">
        <v>1.0</v>
      </c>
      <c r="F33" s="10"/>
      <c r="G33" s="10"/>
      <c r="H33" s="12"/>
      <c r="I33" s="17" t="s">
        <v>74</v>
      </c>
    </row>
    <row r="34" ht="67.5" customHeight="1">
      <c r="A34" s="28">
        <v>5.0</v>
      </c>
      <c r="B34" s="8">
        <v>33.0</v>
      </c>
      <c r="C34" s="9" t="s">
        <v>75</v>
      </c>
      <c r="D34" s="9"/>
      <c r="E34" s="18">
        <v>1.0</v>
      </c>
      <c r="F34" s="9"/>
      <c r="G34" s="10"/>
      <c r="H34" s="12"/>
      <c r="I34" s="19" t="s">
        <v>76</v>
      </c>
    </row>
    <row r="35" ht="67.5" customHeight="1">
      <c r="A35" s="28">
        <v>5.0</v>
      </c>
      <c r="B35" s="8">
        <v>34.0</v>
      </c>
      <c r="C35" s="9" t="s">
        <v>77</v>
      </c>
      <c r="D35" s="10"/>
      <c r="E35" s="11"/>
      <c r="F35" s="10"/>
      <c r="G35" s="10"/>
      <c r="H35" s="12"/>
      <c r="I35" s="29" t="s">
        <v>78</v>
      </c>
    </row>
    <row r="36" ht="67.5" customHeight="1">
      <c r="A36" s="28">
        <v>5.0</v>
      </c>
      <c r="B36" s="8">
        <v>35.0</v>
      </c>
      <c r="C36" s="9" t="s">
        <v>79</v>
      </c>
      <c r="D36" s="10"/>
      <c r="E36" s="11"/>
      <c r="F36" s="10"/>
      <c r="G36" s="10"/>
      <c r="H36" s="12"/>
      <c r="I36" s="14"/>
    </row>
    <row r="37" ht="67.5" customHeight="1">
      <c r="A37" s="28">
        <v>5.0</v>
      </c>
      <c r="B37" s="8">
        <v>36.0</v>
      </c>
      <c r="C37" s="9" t="s">
        <v>80</v>
      </c>
      <c r="D37" s="9">
        <v>41.4</v>
      </c>
      <c r="E37" s="18">
        <v>1.0</v>
      </c>
      <c r="F37" s="10"/>
      <c r="G37" s="10"/>
      <c r="H37" s="12"/>
      <c r="I37" s="14"/>
    </row>
    <row r="38" ht="67.5" customHeight="1">
      <c r="A38" s="28">
        <v>5.0</v>
      </c>
      <c r="B38" s="8">
        <v>37.0</v>
      </c>
      <c r="C38" s="9" t="s">
        <v>81</v>
      </c>
      <c r="D38" s="10"/>
      <c r="E38" s="18">
        <v>0.0</v>
      </c>
      <c r="F38" s="10"/>
      <c r="G38" s="10"/>
      <c r="H38" s="12"/>
      <c r="I38" s="29" t="s">
        <v>82</v>
      </c>
    </row>
    <row r="39" ht="67.5" customHeight="1">
      <c r="A39" s="28">
        <v>5.0</v>
      </c>
      <c r="B39" s="23">
        <v>38.0</v>
      </c>
      <c r="C39" s="9" t="s">
        <v>83</v>
      </c>
      <c r="D39" s="9">
        <v>97.4</v>
      </c>
      <c r="E39" s="18">
        <v>1.0</v>
      </c>
      <c r="F39" s="10"/>
      <c r="G39" s="9" t="s">
        <v>84</v>
      </c>
      <c r="H39" s="12"/>
      <c r="I39" s="17" t="s">
        <v>85</v>
      </c>
    </row>
    <row r="40" ht="67.5" customHeight="1">
      <c r="A40" s="28">
        <v>5.0</v>
      </c>
      <c r="B40" s="8">
        <v>39.0</v>
      </c>
      <c r="C40" s="9" t="s">
        <v>86</v>
      </c>
      <c r="D40" s="9">
        <v>59.2</v>
      </c>
      <c r="E40" s="18"/>
      <c r="F40" s="9">
        <v>1.0</v>
      </c>
      <c r="G40" s="10"/>
      <c r="H40" s="12"/>
      <c r="I40" s="17" t="s">
        <v>87</v>
      </c>
    </row>
    <row r="41" ht="67.5" customHeight="1">
      <c r="A41" s="28">
        <v>5.0</v>
      </c>
      <c r="B41" s="8">
        <v>40.0</v>
      </c>
      <c r="C41" s="9" t="s">
        <v>88</v>
      </c>
      <c r="D41" s="9">
        <v>51.2</v>
      </c>
      <c r="E41" s="11"/>
      <c r="F41" s="9">
        <v>1.0</v>
      </c>
      <c r="G41" s="10"/>
      <c r="H41" s="12"/>
      <c r="I41" s="17" t="s">
        <v>89</v>
      </c>
    </row>
    <row r="42" ht="67.5" customHeight="1">
      <c r="A42" s="30">
        <v>6.0</v>
      </c>
      <c r="B42" s="8">
        <v>41.0</v>
      </c>
      <c r="C42" s="9" t="s">
        <v>90</v>
      </c>
      <c r="D42" s="10"/>
      <c r="E42" s="11"/>
      <c r="F42" s="9">
        <v>0.0</v>
      </c>
      <c r="G42" s="9" t="s">
        <v>44</v>
      </c>
      <c r="H42" s="12"/>
      <c r="I42" s="17" t="s">
        <v>91</v>
      </c>
    </row>
    <row r="43" ht="67.5" customHeight="1">
      <c r="A43" s="30">
        <v>6.0</v>
      </c>
      <c r="B43" s="8">
        <v>42.0</v>
      </c>
      <c r="C43" s="9" t="s">
        <v>92</v>
      </c>
      <c r="D43" s="9">
        <v>41.2</v>
      </c>
      <c r="E43" s="11"/>
      <c r="F43" s="9">
        <v>1.0</v>
      </c>
      <c r="G43" s="10"/>
      <c r="H43" s="12"/>
      <c r="I43" s="13" t="s">
        <v>93</v>
      </c>
    </row>
    <row r="44" ht="67.5" customHeight="1">
      <c r="A44" s="30">
        <v>6.0</v>
      </c>
      <c r="B44" s="8">
        <v>43.0</v>
      </c>
      <c r="C44" s="9" t="s">
        <v>94</v>
      </c>
      <c r="D44" s="9">
        <v>58.7</v>
      </c>
      <c r="E44" s="11"/>
      <c r="F44" s="9">
        <v>1.0</v>
      </c>
      <c r="G44" s="10"/>
      <c r="H44" s="12"/>
      <c r="I44" s="17" t="s">
        <v>95</v>
      </c>
    </row>
    <row r="45" ht="67.5" customHeight="1">
      <c r="A45" s="30">
        <v>6.0</v>
      </c>
      <c r="B45" s="8">
        <v>44.0</v>
      </c>
      <c r="C45" s="9" t="s">
        <v>96</v>
      </c>
      <c r="D45" s="10"/>
      <c r="E45" s="11"/>
      <c r="F45" s="9">
        <v>0.0</v>
      </c>
      <c r="G45" s="10"/>
      <c r="H45" s="12"/>
      <c r="I45" s="17" t="s">
        <v>97</v>
      </c>
    </row>
    <row r="46" ht="67.5" customHeight="1">
      <c r="A46" s="30">
        <v>6.0</v>
      </c>
      <c r="B46" s="8">
        <v>45.0</v>
      </c>
      <c r="C46" s="9" t="s">
        <v>98</v>
      </c>
      <c r="D46" s="9">
        <v>61.3</v>
      </c>
      <c r="E46" s="18">
        <v>1.0</v>
      </c>
      <c r="F46" s="9">
        <v>0.0</v>
      </c>
      <c r="G46" s="9" t="s">
        <v>99</v>
      </c>
      <c r="H46" s="12"/>
      <c r="I46" s="17" t="s">
        <v>100</v>
      </c>
    </row>
    <row r="47" ht="67.5" customHeight="1">
      <c r="A47" s="30">
        <v>6.0</v>
      </c>
      <c r="B47" s="8">
        <v>46.0</v>
      </c>
      <c r="C47" s="9" t="s">
        <v>101</v>
      </c>
      <c r="D47" s="9">
        <v>96.9</v>
      </c>
      <c r="E47" s="11"/>
      <c r="F47" s="9">
        <v>1.0</v>
      </c>
      <c r="G47" s="10"/>
      <c r="H47" s="12"/>
      <c r="I47" s="17" t="s">
        <v>102</v>
      </c>
    </row>
    <row r="48" ht="67.5" customHeight="1">
      <c r="A48" s="30">
        <v>6.0</v>
      </c>
      <c r="B48" s="8">
        <v>47.0</v>
      </c>
      <c r="C48" s="9" t="s">
        <v>103</v>
      </c>
      <c r="D48" s="9">
        <v>0.0</v>
      </c>
      <c r="E48" s="11"/>
      <c r="F48" s="9">
        <v>1.0</v>
      </c>
      <c r="G48" s="10"/>
      <c r="H48" s="12"/>
      <c r="I48" s="17" t="s">
        <v>104</v>
      </c>
    </row>
    <row r="49" ht="67.5" customHeight="1">
      <c r="A49" s="30">
        <v>6.0</v>
      </c>
      <c r="B49" s="8">
        <v>48.0</v>
      </c>
      <c r="C49" s="9" t="s">
        <v>105</v>
      </c>
      <c r="D49" s="10"/>
      <c r="E49" s="11"/>
      <c r="F49" s="10"/>
      <c r="G49" s="10"/>
      <c r="H49" s="12"/>
      <c r="I49" s="17" t="s">
        <v>106</v>
      </c>
    </row>
    <row r="50" ht="67.5" customHeight="1">
      <c r="A50" s="28">
        <v>7.0</v>
      </c>
      <c r="B50" s="8">
        <v>49.0</v>
      </c>
      <c r="C50" s="9" t="s">
        <v>107</v>
      </c>
      <c r="D50" s="10"/>
      <c r="E50" s="11"/>
      <c r="F50" s="10"/>
      <c r="G50" s="10"/>
      <c r="H50" s="12"/>
      <c r="I50" s="14"/>
    </row>
    <row r="51" ht="67.5" customHeight="1">
      <c r="A51" s="28">
        <v>7.0</v>
      </c>
      <c r="B51" s="8">
        <v>50.0</v>
      </c>
      <c r="C51" s="9" t="s">
        <v>108</v>
      </c>
      <c r="D51" s="10"/>
      <c r="E51" s="11"/>
      <c r="F51" s="9">
        <v>0.0</v>
      </c>
      <c r="G51" s="10"/>
      <c r="H51" s="12"/>
      <c r="I51" s="17" t="s">
        <v>109</v>
      </c>
    </row>
    <row r="52" ht="67.5" customHeight="1">
      <c r="A52" s="28">
        <v>7.0</v>
      </c>
      <c r="B52" s="8">
        <v>51.0</v>
      </c>
      <c r="C52" s="9" t="s">
        <v>110</v>
      </c>
      <c r="D52" s="9">
        <v>58.5</v>
      </c>
      <c r="E52" s="18">
        <v>1.0</v>
      </c>
      <c r="F52" s="10"/>
      <c r="G52" s="10"/>
      <c r="H52" s="12"/>
      <c r="I52" s="31" t="s">
        <v>111</v>
      </c>
    </row>
    <row r="53" ht="67.5" customHeight="1">
      <c r="A53" s="28">
        <v>7.0</v>
      </c>
      <c r="B53" s="8">
        <v>52.0</v>
      </c>
      <c r="C53" s="9" t="s">
        <v>112</v>
      </c>
      <c r="D53" s="9">
        <v>40.6</v>
      </c>
      <c r="E53" s="11"/>
      <c r="F53" s="9">
        <v>1.0</v>
      </c>
      <c r="G53" s="10"/>
      <c r="H53" s="12"/>
      <c r="I53" s="14"/>
    </row>
    <row r="54" ht="67.5" customHeight="1">
      <c r="A54" s="28">
        <v>7.0</v>
      </c>
      <c r="B54" s="8">
        <v>53.0</v>
      </c>
      <c r="C54" s="9" t="s">
        <v>113</v>
      </c>
      <c r="D54" s="9">
        <v>61.0</v>
      </c>
      <c r="E54" s="18">
        <v>1.0</v>
      </c>
      <c r="F54" s="10"/>
      <c r="G54" s="10"/>
      <c r="H54" s="12"/>
      <c r="I54" s="17" t="s">
        <v>114</v>
      </c>
    </row>
    <row r="55" ht="67.5" customHeight="1">
      <c r="A55" s="28">
        <v>7.0</v>
      </c>
      <c r="B55" s="8">
        <v>54.0</v>
      </c>
      <c r="C55" s="9" t="s">
        <v>115</v>
      </c>
      <c r="D55" s="10"/>
      <c r="E55" s="11"/>
      <c r="F55" s="9">
        <v>1.0</v>
      </c>
      <c r="G55" s="10"/>
      <c r="H55" s="12"/>
      <c r="I55" s="13" t="s">
        <v>116</v>
      </c>
    </row>
    <row r="56" ht="67.5" customHeight="1">
      <c r="A56" s="28">
        <v>7.0</v>
      </c>
      <c r="B56" s="8">
        <v>55.0</v>
      </c>
      <c r="C56" s="9" t="s">
        <v>117</v>
      </c>
      <c r="D56" s="9">
        <v>59.3</v>
      </c>
      <c r="E56" s="11"/>
      <c r="F56" s="9">
        <v>1.0</v>
      </c>
      <c r="G56" s="10"/>
      <c r="H56" s="12"/>
      <c r="I56" s="31" t="s">
        <v>118</v>
      </c>
    </row>
    <row r="57" ht="67.5" customHeight="1">
      <c r="A57" s="28">
        <v>7.0</v>
      </c>
      <c r="B57" s="8">
        <v>56.0</v>
      </c>
      <c r="C57" s="9" t="s">
        <v>119</v>
      </c>
      <c r="D57" s="9">
        <v>50.5</v>
      </c>
      <c r="E57" s="11"/>
      <c r="F57" s="9">
        <v>1.0</v>
      </c>
      <c r="G57" s="10"/>
      <c r="H57" s="12"/>
      <c r="I57" s="17" t="s">
        <v>120</v>
      </c>
    </row>
    <row r="58" ht="67.5" customHeight="1">
      <c r="A58" s="24">
        <v>8.0</v>
      </c>
      <c r="B58" s="8">
        <v>57.0</v>
      </c>
      <c r="C58" s="9" t="s">
        <v>121</v>
      </c>
      <c r="D58" s="10"/>
      <c r="E58" s="11"/>
      <c r="F58" s="9">
        <v>0.0</v>
      </c>
      <c r="G58" s="10"/>
      <c r="H58" s="12"/>
      <c r="I58" s="14"/>
    </row>
    <row r="59" ht="67.5" customHeight="1">
      <c r="A59" s="24">
        <v>8.0</v>
      </c>
      <c r="B59" s="8">
        <v>58.0</v>
      </c>
      <c r="C59" s="9" t="s">
        <v>122</v>
      </c>
      <c r="D59" s="9">
        <v>55.4</v>
      </c>
      <c r="E59" s="18">
        <v>1.0</v>
      </c>
      <c r="F59" s="10"/>
      <c r="G59" s="10"/>
      <c r="H59" s="12"/>
      <c r="I59" s="14"/>
    </row>
    <row r="60" ht="67.5" customHeight="1">
      <c r="A60" s="24">
        <v>8.0</v>
      </c>
      <c r="B60" s="8">
        <v>59.0</v>
      </c>
      <c r="C60" s="9" t="s">
        <v>123</v>
      </c>
      <c r="D60" s="10"/>
      <c r="E60" s="11"/>
      <c r="F60" s="10"/>
      <c r="G60" s="10"/>
      <c r="H60" s="12"/>
      <c r="I60" s="17" t="s">
        <v>124</v>
      </c>
    </row>
    <row r="61" ht="67.5" customHeight="1">
      <c r="A61" s="24">
        <v>8.0</v>
      </c>
      <c r="B61" s="8">
        <v>60.0</v>
      </c>
      <c r="C61" s="9" t="s">
        <v>125</v>
      </c>
      <c r="D61" s="9">
        <v>40.7</v>
      </c>
      <c r="E61" s="11"/>
      <c r="F61" s="9">
        <v>1.0</v>
      </c>
      <c r="G61" s="10"/>
      <c r="H61" s="12"/>
      <c r="I61" s="17" t="s">
        <v>126</v>
      </c>
    </row>
    <row r="62" ht="67.5" customHeight="1">
      <c r="A62" s="24">
        <v>8.0</v>
      </c>
      <c r="B62" s="8">
        <v>61.0</v>
      </c>
      <c r="C62" s="9" t="s">
        <v>127</v>
      </c>
      <c r="D62" s="10"/>
      <c r="E62" s="11"/>
      <c r="F62" s="10"/>
      <c r="G62" s="10"/>
      <c r="H62" s="12"/>
      <c r="I62" s="17" t="s">
        <v>128</v>
      </c>
    </row>
    <row r="63" ht="67.5" customHeight="1">
      <c r="A63" s="24">
        <v>8.0</v>
      </c>
      <c r="B63" s="8">
        <v>62.0</v>
      </c>
      <c r="C63" s="9" t="s">
        <v>129</v>
      </c>
      <c r="D63" s="9">
        <v>97.3</v>
      </c>
      <c r="E63" s="11"/>
      <c r="F63" s="9">
        <v>1.0</v>
      </c>
      <c r="G63" s="10"/>
      <c r="H63" s="12"/>
      <c r="I63" s="31" t="s">
        <v>130</v>
      </c>
    </row>
    <row r="64" ht="67.5" customHeight="1">
      <c r="A64" s="24">
        <v>8.0</v>
      </c>
      <c r="B64" s="8">
        <v>63.0</v>
      </c>
      <c r="C64" s="9" t="s">
        <v>131</v>
      </c>
      <c r="D64" s="9">
        <v>59.2</v>
      </c>
      <c r="E64" s="11"/>
      <c r="F64" s="9">
        <v>1.0</v>
      </c>
      <c r="G64" s="9" t="s">
        <v>44</v>
      </c>
      <c r="H64" s="12"/>
      <c r="I64" s="17" t="s">
        <v>132</v>
      </c>
    </row>
    <row r="65" ht="67.5" customHeight="1">
      <c r="A65" s="24">
        <v>8.0</v>
      </c>
      <c r="B65" s="8">
        <v>64.0</v>
      </c>
      <c r="C65" s="9" t="s">
        <v>133</v>
      </c>
      <c r="D65" s="10"/>
      <c r="E65" s="11"/>
      <c r="F65" s="10"/>
      <c r="G65" s="10"/>
      <c r="H65" s="12"/>
      <c r="I65" s="13" t="s">
        <v>134</v>
      </c>
    </row>
    <row r="66" ht="67.5" customHeight="1">
      <c r="A66" s="32">
        <v>9.0</v>
      </c>
      <c r="B66" s="8">
        <v>65.0</v>
      </c>
      <c r="C66" s="9" t="s">
        <v>135</v>
      </c>
      <c r="D66" s="33">
        <v>31.3</v>
      </c>
      <c r="E66" s="18">
        <v>1.0</v>
      </c>
      <c r="F66" s="10"/>
      <c r="G66" s="10"/>
      <c r="H66" s="12"/>
      <c r="I66" s="13" t="s">
        <v>136</v>
      </c>
    </row>
    <row r="67" ht="67.5" customHeight="1">
      <c r="A67" s="32">
        <v>9.0</v>
      </c>
      <c r="B67" s="8">
        <v>66.0</v>
      </c>
      <c r="C67" s="9" t="s">
        <v>137</v>
      </c>
      <c r="D67" s="9">
        <v>41.2</v>
      </c>
      <c r="E67" s="18">
        <v>1.0</v>
      </c>
      <c r="F67" s="10"/>
      <c r="G67" s="10"/>
      <c r="H67" s="12"/>
      <c r="I67" s="17" t="s">
        <v>138</v>
      </c>
    </row>
    <row r="68" ht="67.5" customHeight="1">
      <c r="A68" s="32">
        <v>9.0</v>
      </c>
      <c r="B68" s="8">
        <v>67.0</v>
      </c>
      <c r="C68" s="9" t="s">
        <v>139</v>
      </c>
      <c r="D68" s="10"/>
      <c r="E68" s="11"/>
      <c r="F68" s="10"/>
      <c r="G68" s="10"/>
      <c r="H68" s="12"/>
      <c r="I68" s="14"/>
    </row>
    <row r="69" ht="67.5" customHeight="1">
      <c r="A69" s="32">
        <v>9.0</v>
      </c>
      <c r="B69" s="8">
        <v>68.0</v>
      </c>
      <c r="C69" s="9" t="s">
        <v>140</v>
      </c>
      <c r="D69" s="10"/>
      <c r="E69" s="11"/>
      <c r="F69" s="10"/>
      <c r="G69" s="10"/>
      <c r="H69" s="12"/>
      <c r="I69" s="14"/>
    </row>
    <row r="70" ht="67.5" customHeight="1">
      <c r="A70" s="32">
        <v>9.0</v>
      </c>
      <c r="B70" s="8">
        <v>69.0</v>
      </c>
      <c r="C70" s="9" t="s">
        <v>141</v>
      </c>
      <c r="D70" s="10"/>
      <c r="E70" s="11"/>
      <c r="F70" s="10"/>
      <c r="G70" s="10"/>
      <c r="H70" s="12"/>
      <c r="I70" s="17" t="s">
        <v>142</v>
      </c>
    </row>
    <row r="71" ht="67.5" customHeight="1">
      <c r="A71" s="32">
        <v>9.0</v>
      </c>
      <c r="B71" s="8">
        <v>70.0</v>
      </c>
      <c r="C71" s="9" t="s">
        <v>143</v>
      </c>
      <c r="D71" s="9">
        <v>95.8</v>
      </c>
      <c r="E71" s="18">
        <v>1.0</v>
      </c>
      <c r="F71" s="10"/>
      <c r="G71" s="10"/>
      <c r="H71" s="12"/>
      <c r="I71" s="17" t="s">
        <v>144</v>
      </c>
    </row>
    <row r="72" ht="67.5" customHeight="1">
      <c r="A72" s="32">
        <v>9.0</v>
      </c>
      <c r="B72" s="8">
        <v>71.0</v>
      </c>
      <c r="C72" s="9" t="s">
        <v>145</v>
      </c>
      <c r="D72" s="10"/>
      <c r="E72" s="11"/>
      <c r="F72" s="10"/>
      <c r="G72" s="10"/>
      <c r="H72" s="12"/>
      <c r="I72" s="14"/>
    </row>
    <row r="73" ht="67.5" customHeight="1">
      <c r="A73" s="32">
        <v>9.0</v>
      </c>
      <c r="B73" s="16">
        <v>72.0</v>
      </c>
      <c r="C73" s="9" t="s">
        <v>146</v>
      </c>
      <c r="D73" s="9">
        <v>51.5</v>
      </c>
      <c r="E73" s="11"/>
      <c r="F73" s="9">
        <v>1.0</v>
      </c>
      <c r="G73" s="10"/>
      <c r="H73" s="12"/>
      <c r="I73" s="17" t="s">
        <v>147</v>
      </c>
    </row>
    <row r="74" ht="67.5" customHeight="1">
      <c r="A74" s="7">
        <v>10.0</v>
      </c>
      <c r="B74" s="8">
        <v>73.0</v>
      </c>
      <c r="C74" s="9" t="s">
        <v>148</v>
      </c>
      <c r="D74" s="9">
        <v>31.4</v>
      </c>
      <c r="E74" s="11"/>
      <c r="F74" s="9">
        <v>1.0</v>
      </c>
      <c r="G74" s="10"/>
      <c r="H74" s="12"/>
      <c r="I74" s="17">
        <f>797886647-20</f>
        <v>797886627</v>
      </c>
    </row>
    <row r="75" ht="67.5" customHeight="1">
      <c r="A75" s="7">
        <v>10.0</v>
      </c>
      <c r="B75" s="8">
        <v>74.0</v>
      </c>
      <c r="C75" s="9" t="s">
        <v>149</v>
      </c>
      <c r="D75" s="9">
        <v>41.3</v>
      </c>
      <c r="E75" s="11"/>
      <c r="F75" s="9">
        <v>1.0</v>
      </c>
      <c r="G75" s="9" t="s">
        <v>150</v>
      </c>
      <c r="H75" s="12"/>
      <c r="I75" s="31" t="s">
        <v>151</v>
      </c>
    </row>
    <row r="76" ht="67.5" customHeight="1">
      <c r="A76" s="7">
        <v>10.0</v>
      </c>
      <c r="B76" s="8">
        <v>75.0</v>
      </c>
      <c r="C76" s="9" t="s">
        <v>152</v>
      </c>
      <c r="D76" s="9"/>
      <c r="E76" s="11"/>
      <c r="F76" s="9">
        <v>1.0</v>
      </c>
      <c r="G76" s="9" t="s">
        <v>153</v>
      </c>
      <c r="H76" s="12"/>
      <c r="I76" s="13" t="s">
        <v>154</v>
      </c>
    </row>
    <row r="77" ht="67.5" customHeight="1">
      <c r="A77" s="7">
        <v>10.0</v>
      </c>
      <c r="B77" s="8">
        <v>76.0</v>
      </c>
      <c r="C77" s="9" t="s">
        <v>155</v>
      </c>
      <c r="D77" s="9">
        <v>40.7</v>
      </c>
      <c r="E77" s="11"/>
      <c r="F77" s="9">
        <v>1.0</v>
      </c>
      <c r="G77" s="10"/>
      <c r="H77" s="12"/>
      <c r="I77" s="14"/>
    </row>
    <row r="78" ht="67.5" customHeight="1">
      <c r="A78" s="7">
        <v>10.0</v>
      </c>
      <c r="B78" s="23">
        <v>77.0</v>
      </c>
      <c r="C78" s="9" t="s">
        <v>156</v>
      </c>
      <c r="D78" s="9">
        <v>60.7</v>
      </c>
      <c r="E78" s="11"/>
      <c r="F78" s="9">
        <v>1.0</v>
      </c>
      <c r="G78" s="9" t="s">
        <v>84</v>
      </c>
      <c r="H78" s="12"/>
      <c r="I78" s="17" t="s">
        <v>157</v>
      </c>
    </row>
    <row r="79" ht="67.5" customHeight="1">
      <c r="A79" s="7">
        <v>10.0</v>
      </c>
      <c r="B79" s="8">
        <v>78.0</v>
      </c>
      <c r="C79" s="9" t="s">
        <v>158</v>
      </c>
      <c r="D79" s="9">
        <v>97.0</v>
      </c>
      <c r="E79" s="18">
        <f>1/6</f>
        <v>0.1666666667</v>
      </c>
      <c r="F79" s="10"/>
      <c r="G79" s="9"/>
      <c r="H79" s="12"/>
      <c r="I79" s="13" t="s">
        <v>159</v>
      </c>
    </row>
    <row r="80" ht="67.5" customHeight="1">
      <c r="A80" s="7">
        <v>10.0</v>
      </c>
      <c r="B80" s="8">
        <v>79.0</v>
      </c>
      <c r="C80" s="9" t="s">
        <v>160</v>
      </c>
      <c r="D80" s="10"/>
      <c r="E80" s="11"/>
      <c r="F80" s="10"/>
      <c r="G80" s="10"/>
      <c r="H80" s="12"/>
      <c r="I80" s="14"/>
    </row>
    <row r="81" ht="67.5" customHeight="1">
      <c r="A81" s="7">
        <v>10.0</v>
      </c>
      <c r="B81" s="8">
        <v>80.0</v>
      </c>
      <c r="C81" s="9" t="s">
        <v>161</v>
      </c>
      <c r="D81" s="9">
        <v>51.2</v>
      </c>
      <c r="E81" s="18"/>
      <c r="F81" s="9">
        <v>1.0</v>
      </c>
      <c r="G81" s="10"/>
      <c r="H81" s="12"/>
      <c r="I81" s="17" t="s">
        <v>162</v>
      </c>
    </row>
    <row r="82" ht="22.5" customHeight="1">
      <c r="A82" s="34"/>
      <c r="B82" s="35"/>
      <c r="C82" s="36"/>
      <c r="D82" s="36">
        <f>SUM(Подъезд1[Площадь])</f>
        <v>2704.9</v>
      </c>
      <c r="E82" s="37">
        <f>SUM(Подъезд1[Электронно])</f>
        <v>13.16666667</v>
      </c>
      <c r="F82" s="36">
        <f>SUM(F2:F81)</f>
        <v>40</v>
      </c>
      <c r="G82" s="36"/>
      <c r="H82" s="12"/>
      <c r="I82" s="38"/>
    </row>
    <row r="231">
      <c r="A231" s="39"/>
      <c r="K231" s="40"/>
      <c r="L231" s="40"/>
    </row>
    <row r="232">
      <c r="K232" s="40"/>
      <c r="L232" s="40"/>
    </row>
    <row r="233">
      <c r="K233" s="40"/>
      <c r="L233" s="40"/>
    </row>
    <row r="234">
      <c r="K234" s="40"/>
      <c r="L234" s="40"/>
    </row>
    <row r="235">
      <c r="K235" s="40"/>
      <c r="L235" s="40"/>
    </row>
    <row r="236">
      <c r="K236" s="40"/>
      <c r="L236" s="40"/>
    </row>
    <row r="237">
      <c r="K237" s="40"/>
      <c r="L237" s="40"/>
    </row>
    <row r="238">
      <c r="K238" s="40"/>
      <c r="L238" s="40"/>
    </row>
    <row r="239">
      <c r="K239" s="40"/>
      <c r="L239" s="40"/>
    </row>
    <row r="240">
      <c r="K240" s="40"/>
      <c r="L240" s="40"/>
    </row>
    <row r="241">
      <c r="K241" s="40"/>
      <c r="L241" s="40"/>
    </row>
    <row r="242">
      <c r="K242" s="40"/>
      <c r="L242" s="40"/>
    </row>
    <row r="243">
      <c r="K243" s="40"/>
      <c r="L243" s="40"/>
    </row>
    <row r="244">
      <c r="K244" s="40"/>
      <c r="L244" s="40"/>
    </row>
    <row r="245">
      <c r="K245" s="40"/>
      <c r="L245" s="40"/>
    </row>
    <row r="246">
      <c r="K246" s="40"/>
      <c r="L246" s="40"/>
    </row>
    <row r="247">
      <c r="K247" s="40"/>
      <c r="L247" s="40"/>
    </row>
    <row r="248">
      <c r="K248" s="40"/>
      <c r="L248" s="40"/>
    </row>
    <row r="249">
      <c r="K249" s="40"/>
      <c r="L249" s="40"/>
    </row>
    <row r="250">
      <c r="K250" s="40"/>
      <c r="L250" s="40"/>
    </row>
    <row r="251">
      <c r="K251" s="40"/>
      <c r="L251" s="40"/>
    </row>
    <row r="252">
      <c r="K252" s="40"/>
      <c r="L252" s="40"/>
    </row>
    <row r="253">
      <c r="K253" s="40"/>
      <c r="L253" s="40"/>
    </row>
    <row r="254">
      <c r="K254" s="40"/>
      <c r="L254" s="40"/>
    </row>
    <row r="255">
      <c r="K255" s="40"/>
      <c r="L255" s="40"/>
    </row>
    <row r="256">
      <c r="K256" s="40"/>
      <c r="L256" s="40"/>
    </row>
    <row r="257">
      <c r="K257" s="40"/>
      <c r="L257" s="40"/>
    </row>
    <row r="258">
      <c r="K258" s="40"/>
      <c r="L258" s="40"/>
    </row>
    <row r="259">
      <c r="K259" s="40"/>
      <c r="L259" s="40"/>
    </row>
    <row r="260">
      <c r="K260" s="40"/>
      <c r="L260" s="40"/>
    </row>
    <row r="261">
      <c r="K261" s="40"/>
      <c r="L261" s="40"/>
    </row>
    <row r="262">
      <c r="K262" s="40"/>
      <c r="L262" s="40"/>
    </row>
    <row r="263">
      <c r="K263" s="40"/>
      <c r="L263" s="40"/>
    </row>
    <row r="264">
      <c r="K264" s="40"/>
      <c r="L264" s="40"/>
    </row>
    <row r="265">
      <c r="K265" s="40"/>
      <c r="L265" s="40"/>
    </row>
    <row r="266">
      <c r="K266" s="40"/>
      <c r="L266" s="40"/>
    </row>
    <row r="267">
      <c r="K267" s="40"/>
      <c r="L267" s="40"/>
    </row>
    <row r="268">
      <c r="K268" s="40"/>
      <c r="L268" s="40"/>
    </row>
    <row r="269">
      <c r="K269" s="40"/>
      <c r="L269" s="40"/>
    </row>
    <row r="270">
      <c r="K270" s="40"/>
      <c r="L270" s="40"/>
    </row>
    <row r="271">
      <c r="K271" s="40"/>
      <c r="L271" s="40"/>
    </row>
    <row r="272">
      <c r="K272" s="40"/>
      <c r="L272" s="40"/>
    </row>
    <row r="273">
      <c r="K273" s="40"/>
      <c r="L273" s="40"/>
    </row>
    <row r="274">
      <c r="K274" s="40"/>
      <c r="L274" s="40"/>
    </row>
    <row r="275">
      <c r="K275" s="40"/>
      <c r="L275" s="40"/>
    </row>
    <row r="276">
      <c r="K276" s="40"/>
      <c r="L276" s="40"/>
    </row>
    <row r="277">
      <c r="K277" s="40"/>
      <c r="L277" s="40"/>
    </row>
    <row r="278">
      <c r="K278" s="40"/>
      <c r="L278" s="40"/>
    </row>
    <row r="279">
      <c r="K279" s="40"/>
      <c r="L279" s="40"/>
    </row>
    <row r="280">
      <c r="K280" s="40"/>
      <c r="L280" s="40"/>
    </row>
    <row r="281">
      <c r="K281" s="40"/>
      <c r="L281" s="40"/>
    </row>
    <row r="282">
      <c r="K282" s="40"/>
      <c r="L282" s="40"/>
    </row>
    <row r="283">
      <c r="K283" s="40"/>
      <c r="L283" s="40"/>
    </row>
    <row r="284">
      <c r="K284" s="40"/>
      <c r="L284" s="40"/>
    </row>
    <row r="285">
      <c r="K285" s="40"/>
      <c r="L285" s="40"/>
    </row>
    <row r="286">
      <c r="K286" s="40"/>
      <c r="L286" s="40"/>
    </row>
    <row r="287">
      <c r="K287" s="40"/>
      <c r="L287" s="40"/>
    </row>
    <row r="288">
      <c r="K288" s="40"/>
      <c r="L288" s="40"/>
    </row>
    <row r="289">
      <c r="K289" s="40"/>
      <c r="L289" s="40"/>
    </row>
    <row r="290">
      <c r="K290" s="40"/>
      <c r="L290" s="40"/>
    </row>
    <row r="291">
      <c r="K291" s="40"/>
      <c r="L291" s="40"/>
    </row>
    <row r="292">
      <c r="K292" s="40"/>
      <c r="L292" s="40"/>
    </row>
    <row r="293">
      <c r="K293" s="40"/>
      <c r="L293" s="40"/>
    </row>
    <row r="294">
      <c r="K294" s="40"/>
      <c r="L294" s="40"/>
    </row>
    <row r="295">
      <c r="K295" s="40"/>
      <c r="L295" s="40"/>
    </row>
    <row r="296">
      <c r="K296" s="40"/>
      <c r="L296" s="40"/>
    </row>
    <row r="297">
      <c r="K297" s="40"/>
      <c r="L297" s="40"/>
    </row>
    <row r="298">
      <c r="K298" s="40"/>
      <c r="L298" s="40"/>
    </row>
    <row r="299">
      <c r="K299" s="40"/>
      <c r="L299" s="40"/>
    </row>
    <row r="300">
      <c r="K300" s="40"/>
      <c r="L300" s="40"/>
    </row>
    <row r="301">
      <c r="K301" s="40"/>
      <c r="L301" s="40"/>
    </row>
    <row r="302">
      <c r="K302" s="40"/>
      <c r="L302" s="40"/>
    </row>
    <row r="303">
      <c r="K303" s="40"/>
      <c r="L303" s="40"/>
    </row>
    <row r="304">
      <c r="K304" s="40"/>
      <c r="L304" s="40"/>
    </row>
    <row r="305">
      <c r="K305" s="40"/>
      <c r="L305" s="40"/>
    </row>
    <row r="306">
      <c r="K306" s="40"/>
      <c r="L306" s="40"/>
    </row>
    <row r="307">
      <c r="K307" s="40"/>
      <c r="L307" s="40"/>
    </row>
    <row r="308">
      <c r="K308" s="40"/>
      <c r="L308" s="40"/>
    </row>
    <row r="309">
      <c r="K309" s="40"/>
      <c r="L309" s="40"/>
    </row>
    <row r="310">
      <c r="K310" s="40"/>
      <c r="L310" s="40"/>
    </row>
    <row r="311">
      <c r="K311" s="40"/>
      <c r="L311" s="40"/>
    </row>
    <row r="312">
      <c r="K312" s="40"/>
      <c r="L312" s="40"/>
    </row>
    <row r="313">
      <c r="K313" s="40"/>
      <c r="L313" s="40"/>
    </row>
    <row r="314">
      <c r="K314" s="40"/>
      <c r="L314" s="40"/>
    </row>
    <row r="315">
      <c r="K315" s="40"/>
      <c r="L315" s="40"/>
    </row>
    <row r="316">
      <c r="K316" s="40"/>
      <c r="L316" s="40"/>
    </row>
    <row r="317">
      <c r="K317" s="40"/>
      <c r="L317" s="40"/>
    </row>
    <row r="318">
      <c r="K318" s="40"/>
      <c r="L318" s="40"/>
    </row>
    <row r="319">
      <c r="K319" s="40"/>
      <c r="L319" s="40"/>
    </row>
    <row r="320">
      <c r="K320" s="40"/>
      <c r="L320" s="40"/>
    </row>
    <row r="321">
      <c r="K321" s="40"/>
      <c r="L321" s="40"/>
    </row>
    <row r="322">
      <c r="K322" s="40"/>
      <c r="L322" s="40"/>
    </row>
    <row r="323">
      <c r="K323" s="40"/>
      <c r="L323" s="40"/>
    </row>
    <row r="324">
      <c r="K324" s="40"/>
      <c r="L324" s="40"/>
    </row>
    <row r="325">
      <c r="K325" s="40"/>
      <c r="L325" s="40"/>
    </row>
    <row r="326">
      <c r="K326" s="40"/>
      <c r="L326" s="40"/>
    </row>
    <row r="327">
      <c r="K327" s="40"/>
      <c r="L327" s="40"/>
    </row>
    <row r="328">
      <c r="K328" s="40"/>
      <c r="L328" s="40"/>
    </row>
    <row r="329">
      <c r="K329" s="40"/>
      <c r="L329" s="40"/>
    </row>
    <row r="330">
      <c r="K330" s="40"/>
      <c r="L330" s="40"/>
    </row>
    <row r="331">
      <c r="K331" s="40"/>
      <c r="L331" s="40"/>
    </row>
    <row r="332">
      <c r="K332" s="40"/>
      <c r="L332" s="40"/>
    </row>
    <row r="333">
      <c r="K333" s="40"/>
      <c r="L333" s="40"/>
    </row>
    <row r="334">
      <c r="K334" s="40"/>
      <c r="L334" s="40"/>
    </row>
    <row r="335">
      <c r="K335" s="40"/>
      <c r="L335" s="40"/>
    </row>
    <row r="336">
      <c r="K336" s="40"/>
      <c r="L336" s="40"/>
    </row>
    <row r="337">
      <c r="K337" s="40"/>
      <c r="L337" s="40"/>
    </row>
    <row r="338">
      <c r="K338" s="40"/>
      <c r="L338" s="40"/>
    </row>
    <row r="339">
      <c r="K339" s="40"/>
      <c r="L339" s="40"/>
    </row>
    <row r="340">
      <c r="K340" s="40"/>
      <c r="L340" s="40"/>
    </row>
    <row r="341">
      <c r="K341" s="40"/>
      <c r="L341" s="40"/>
    </row>
    <row r="342">
      <c r="K342" s="40"/>
      <c r="L342" s="40"/>
    </row>
    <row r="343">
      <c r="K343" s="40"/>
      <c r="L343" s="40"/>
    </row>
    <row r="344">
      <c r="K344" s="40"/>
      <c r="L344" s="40"/>
    </row>
    <row r="345">
      <c r="K345" s="40"/>
      <c r="L345" s="40"/>
    </row>
    <row r="346">
      <c r="K346" s="40"/>
      <c r="L346" s="40"/>
    </row>
    <row r="347">
      <c r="K347" s="40"/>
      <c r="L347" s="40"/>
    </row>
    <row r="348">
      <c r="K348" s="40"/>
      <c r="L348" s="40"/>
    </row>
    <row r="349">
      <c r="K349" s="40"/>
      <c r="L349" s="40"/>
    </row>
    <row r="350">
      <c r="K350" s="40"/>
      <c r="L350" s="40"/>
    </row>
    <row r="351">
      <c r="K351" s="40"/>
      <c r="L351" s="40"/>
    </row>
    <row r="352">
      <c r="K352" s="40"/>
      <c r="L352" s="40"/>
    </row>
    <row r="353">
      <c r="K353" s="40"/>
      <c r="L353" s="40"/>
    </row>
    <row r="354">
      <c r="K354" s="40"/>
      <c r="L354" s="40"/>
    </row>
    <row r="355">
      <c r="K355" s="40"/>
      <c r="L355" s="40"/>
    </row>
    <row r="356">
      <c r="K356" s="40"/>
      <c r="L356" s="40"/>
    </row>
    <row r="357">
      <c r="K357" s="40"/>
      <c r="L357" s="40"/>
    </row>
    <row r="358">
      <c r="K358" s="40"/>
      <c r="L358" s="40"/>
    </row>
    <row r="359">
      <c r="K359" s="40"/>
      <c r="L359" s="40"/>
    </row>
    <row r="360">
      <c r="K360" s="40"/>
      <c r="L360" s="40"/>
    </row>
    <row r="361">
      <c r="K361" s="40"/>
      <c r="L361" s="40"/>
    </row>
    <row r="362">
      <c r="K362" s="40"/>
      <c r="L362" s="40"/>
    </row>
    <row r="363">
      <c r="K363" s="40"/>
      <c r="L363" s="40"/>
    </row>
    <row r="364">
      <c r="K364" s="40"/>
      <c r="L364" s="40"/>
    </row>
    <row r="365">
      <c r="K365" s="40"/>
      <c r="L365" s="40"/>
    </row>
    <row r="366">
      <c r="K366" s="40"/>
      <c r="L366" s="40"/>
    </row>
    <row r="367">
      <c r="K367" s="40"/>
      <c r="L367" s="40"/>
    </row>
    <row r="368">
      <c r="K368" s="40"/>
      <c r="L368" s="40"/>
    </row>
    <row r="369">
      <c r="K369" s="40"/>
      <c r="L369" s="40"/>
    </row>
    <row r="370">
      <c r="K370" s="40"/>
      <c r="L370" s="40"/>
    </row>
    <row r="371">
      <c r="K371" s="40"/>
      <c r="L371" s="40"/>
    </row>
    <row r="372">
      <c r="K372" s="40"/>
      <c r="L372" s="40"/>
    </row>
    <row r="373">
      <c r="K373" s="40"/>
      <c r="L373" s="40"/>
    </row>
    <row r="374">
      <c r="K374" s="40"/>
      <c r="L374" s="40"/>
    </row>
    <row r="375">
      <c r="K375" s="40"/>
      <c r="L375" s="40"/>
    </row>
    <row r="376">
      <c r="K376" s="40"/>
      <c r="L376" s="40"/>
    </row>
    <row r="377">
      <c r="K377" s="40"/>
      <c r="L377" s="40"/>
    </row>
    <row r="378">
      <c r="K378" s="40"/>
      <c r="L378" s="40"/>
    </row>
    <row r="379">
      <c r="K379" s="40"/>
      <c r="L379" s="40"/>
    </row>
    <row r="380">
      <c r="K380" s="40"/>
      <c r="L380" s="40"/>
    </row>
    <row r="381">
      <c r="K381" s="40"/>
      <c r="L381" s="40"/>
    </row>
    <row r="382">
      <c r="K382" s="40"/>
      <c r="L382" s="40"/>
    </row>
    <row r="383">
      <c r="K383" s="40"/>
      <c r="L383" s="40"/>
    </row>
    <row r="384">
      <c r="K384" s="40"/>
      <c r="L384" s="40"/>
    </row>
    <row r="385">
      <c r="K385" s="40"/>
      <c r="L385" s="40"/>
    </row>
    <row r="386">
      <c r="K386" s="40"/>
      <c r="L386" s="40"/>
    </row>
    <row r="387">
      <c r="K387" s="40"/>
      <c r="L387" s="40"/>
    </row>
    <row r="388">
      <c r="K388" s="40"/>
      <c r="L388" s="40"/>
    </row>
    <row r="389">
      <c r="K389" s="40"/>
      <c r="L389" s="40"/>
    </row>
    <row r="390">
      <c r="K390" s="40"/>
      <c r="L390" s="40"/>
    </row>
    <row r="391">
      <c r="K391" s="40"/>
      <c r="L391" s="40"/>
    </row>
    <row r="392">
      <c r="K392" s="40"/>
      <c r="L392" s="40"/>
    </row>
    <row r="393">
      <c r="K393" s="40"/>
      <c r="L393" s="40"/>
    </row>
    <row r="394">
      <c r="K394" s="40"/>
      <c r="L394" s="40"/>
    </row>
    <row r="395">
      <c r="K395" s="40"/>
      <c r="L395" s="40"/>
    </row>
    <row r="396">
      <c r="K396" s="40"/>
      <c r="L396" s="40"/>
    </row>
    <row r="397">
      <c r="K397" s="40"/>
      <c r="L397" s="40"/>
    </row>
    <row r="398">
      <c r="K398" s="40"/>
      <c r="L398" s="40"/>
    </row>
    <row r="399">
      <c r="K399" s="40"/>
      <c r="L399" s="40"/>
    </row>
    <row r="400">
      <c r="K400" s="40"/>
      <c r="L400" s="40"/>
    </row>
    <row r="401">
      <c r="K401" s="40"/>
      <c r="L401" s="40"/>
    </row>
    <row r="402">
      <c r="K402" s="40"/>
      <c r="L402" s="40"/>
    </row>
    <row r="403">
      <c r="K403" s="40"/>
      <c r="L403" s="40"/>
    </row>
    <row r="404">
      <c r="K404" s="40"/>
      <c r="L404" s="40"/>
    </row>
    <row r="405">
      <c r="K405" s="40"/>
      <c r="L405" s="40"/>
    </row>
    <row r="406">
      <c r="K406" s="40"/>
      <c r="L406" s="40"/>
    </row>
    <row r="407">
      <c r="K407" s="40"/>
      <c r="L407" s="40"/>
    </row>
    <row r="408">
      <c r="K408" s="40"/>
      <c r="L408" s="40"/>
    </row>
    <row r="409">
      <c r="K409" s="40"/>
      <c r="L409" s="40"/>
    </row>
    <row r="410">
      <c r="K410" s="40"/>
      <c r="L410" s="40"/>
    </row>
    <row r="411">
      <c r="K411" s="40"/>
      <c r="L411" s="40"/>
    </row>
    <row r="412">
      <c r="K412" s="40"/>
      <c r="L412" s="40"/>
    </row>
    <row r="413">
      <c r="K413" s="40"/>
      <c r="L413" s="40"/>
    </row>
    <row r="414">
      <c r="K414" s="40"/>
      <c r="L414" s="40"/>
    </row>
    <row r="415">
      <c r="K415" s="40"/>
      <c r="L415" s="40"/>
    </row>
    <row r="416">
      <c r="K416" s="40"/>
      <c r="L416" s="40"/>
    </row>
    <row r="417">
      <c r="K417" s="40"/>
      <c r="L417" s="40"/>
    </row>
    <row r="418">
      <c r="K418" s="40"/>
      <c r="L418" s="40"/>
    </row>
    <row r="419">
      <c r="K419" s="40"/>
      <c r="L419" s="40"/>
    </row>
    <row r="420">
      <c r="K420" s="40"/>
      <c r="L420" s="40"/>
    </row>
    <row r="421">
      <c r="K421" s="40"/>
      <c r="L421" s="40"/>
    </row>
    <row r="422">
      <c r="K422" s="40"/>
      <c r="L422" s="40"/>
    </row>
    <row r="423">
      <c r="K423" s="40"/>
      <c r="L423" s="40"/>
    </row>
    <row r="424">
      <c r="K424" s="40"/>
      <c r="L424" s="40"/>
    </row>
    <row r="425">
      <c r="K425" s="40"/>
      <c r="L425" s="40"/>
    </row>
    <row r="426">
      <c r="K426" s="40"/>
      <c r="L426" s="40"/>
    </row>
    <row r="427">
      <c r="K427" s="40"/>
      <c r="L427" s="40"/>
    </row>
    <row r="428">
      <c r="K428" s="40"/>
      <c r="L428" s="40"/>
    </row>
    <row r="429">
      <c r="K429" s="40"/>
      <c r="L429" s="40"/>
    </row>
    <row r="430">
      <c r="K430" s="40"/>
      <c r="L430" s="40"/>
    </row>
    <row r="431">
      <c r="K431" s="40"/>
      <c r="L431" s="40"/>
    </row>
    <row r="432">
      <c r="K432" s="40"/>
      <c r="L432" s="40"/>
    </row>
    <row r="433">
      <c r="K433" s="40"/>
      <c r="L433" s="40"/>
    </row>
    <row r="434">
      <c r="K434" s="40"/>
      <c r="L434" s="40"/>
    </row>
    <row r="435">
      <c r="K435" s="40"/>
      <c r="L435" s="40"/>
    </row>
    <row r="436">
      <c r="K436" s="40"/>
      <c r="L436" s="40"/>
    </row>
    <row r="437">
      <c r="K437" s="40"/>
      <c r="L437" s="40"/>
    </row>
    <row r="438">
      <c r="K438" s="40"/>
      <c r="L438" s="40"/>
    </row>
    <row r="439">
      <c r="K439" s="40"/>
      <c r="L439" s="40"/>
    </row>
    <row r="440">
      <c r="K440" s="40"/>
      <c r="L440" s="40"/>
    </row>
    <row r="441">
      <c r="K441" s="40"/>
      <c r="L441" s="40"/>
    </row>
    <row r="442">
      <c r="K442" s="40"/>
      <c r="L442" s="40"/>
    </row>
    <row r="443">
      <c r="K443" s="40"/>
      <c r="L443" s="40"/>
    </row>
    <row r="444">
      <c r="K444" s="40"/>
      <c r="L444" s="40"/>
    </row>
    <row r="445">
      <c r="K445" s="40"/>
      <c r="L445" s="40"/>
    </row>
    <row r="446">
      <c r="K446" s="40"/>
      <c r="L446" s="40"/>
    </row>
    <row r="447">
      <c r="K447" s="40"/>
      <c r="L447" s="40"/>
    </row>
    <row r="448">
      <c r="K448" s="40"/>
      <c r="L448" s="40"/>
    </row>
    <row r="449">
      <c r="K449" s="40"/>
      <c r="L449" s="40"/>
    </row>
    <row r="450">
      <c r="K450" s="40"/>
      <c r="L450" s="40"/>
    </row>
    <row r="451">
      <c r="K451" s="40"/>
      <c r="L451" s="40"/>
    </row>
    <row r="452">
      <c r="K452" s="40"/>
      <c r="L452" s="40"/>
    </row>
    <row r="453">
      <c r="K453" s="40"/>
      <c r="L453" s="40"/>
    </row>
    <row r="454">
      <c r="K454" s="40"/>
      <c r="L454" s="40"/>
    </row>
    <row r="455">
      <c r="K455" s="40"/>
      <c r="L455" s="40"/>
    </row>
    <row r="456">
      <c r="K456" s="40"/>
      <c r="L456" s="40"/>
    </row>
    <row r="457">
      <c r="K457" s="40"/>
      <c r="L457" s="40"/>
    </row>
    <row r="458">
      <c r="K458" s="40"/>
      <c r="L458" s="40"/>
    </row>
    <row r="459">
      <c r="K459" s="40"/>
      <c r="L459" s="40"/>
    </row>
    <row r="460">
      <c r="K460" s="40"/>
      <c r="L460" s="40"/>
    </row>
    <row r="461">
      <c r="K461" s="40"/>
      <c r="L461" s="40"/>
    </row>
    <row r="462">
      <c r="K462" s="40"/>
      <c r="L462" s="40"/>
    </row>
    <row r="463">
      <c r="K463" s="40"/>
      <c r="L463" s="40"/>
    </row>
    <row r="464">
      <c r="K464" s="40"/>
      <c r="L464" s="40"/>
    </row>
    <row r="465">
      <c r="K465" s="40"/>
      <c r="L465" s="40"/>
    </row>
    <row r="466">
      <c r="K466" s="40"/>
      <c r="L466" s="40"/>
    </row>
    <row r="467">
      <c r="K467" s="40"/>
      <c r="L467" s="40"/>
    </row>
    <row r="468">
      <c r="K468" s="40"/>
      <c r="L468" s="40"/>
    </row>
    <row r="469">
      <c r="K469" s="40"/>
      <c r="L469" s="40"/>
    </row>
    <row r="470">
      <c r="K470" s="40"/>
      <c r="L470" s="40"/>
    </row>
    <row r="471">
      <c r="K471" s="40"/>
      <c r="L471" s="40"/>
    </row>
    <row r="472">
      <c r="K472" s="40"/>
      <c r="L472" s="40"/>
    </row>
    <row r="473">
      <c r="K473" s="40"/>
      <c r="L473" s="40"/>
    </row>
    <row r="474">
      <c r="K474" s="40"/>
      <c r="L474" s="40"/>
    </row>
    <row r="475">
      <c r="K475" s="40"/>
      <c r="L475" s="40"/>
    </row>
    <row r="476">
      <c r="K476" s="40"/>
      <c r="L476" s="40"/>
    </row>
    <row r="477">
      <c r="K477" s="40"/>
      <c r="L477" s="40"/>
    </row>
    <row r="478">
      <c r="K478" s="40"/>
      <c r="L478" s="40"/>
    </row>
    <row r="479">
      <c r="K479" s="40"/>
      <c r="L479" s="40"/>
    </row>
    <row r="480">
      <c r="K480" s="40"/>
      <c r="L480" s="40"/>
    </row>
    <row r="481">
      <c r="K481" s="40"/>
      <c r="L481" s="40"/>
    </row>
    <row r="482">
      <c r="K482" s="40"/>
      <c r="L482" s="40"/>
    </row>
    <row r="483">
      <c r="K483" s="40"/>
      <c r="L483" s="40"/>
    </row>
    <row r="484">
      <c r="K484" s="40"/>
      <c r="L484" s="40"/>
    </row>
    <row r="485">
      <c r="K485" s="40"/>
      <c r="L485" s="40"/>
    </row>
    <row r="486">
      <c r="K486" s="40"/>
      <c r="L486" s="40"/>
    </row>
    <row r="487">
      <c r="K487" s="40"/>
      <c r="L487" s="40"/>
    </row>
    <row r="488">
      <c r="K488" s="40"/>
      <c r="L488" s="40"/>
    </row>
    <row r="489">
      <c r="K489" s="40"/>
      <c r="L489" s="40"/>
    </row>
    <row r="490">
      <c r="K490" s="40"/>
      <c r="L490" s="40"/>
    </row>
    <row r="491">
      <c r="K491" s="40"/>
      <c r="L491" s="40"/>
    </row>
    <row r="492">
      <c r="K492" s="40"/>
      <c r="L492" s="40"/>
    </row>
    <row r="493">
      <c r="K493" s="40"/>
      <c r="L493" s="40"/>
    </row>
    <row r="494">
      <c r="K494" s="40"/>
      <c r="L494" s="40"/>
    </row>
    <row r="495">
      <c r="K495" s="40"/>
      <c r="L495" s="40"/>
    </row>
    <row r="496">
      <c r="K496" s="40"/>
      <c r="L496" s="40"/>
    </row>
    <row r="497">
      <c r="K497" s="40"/>
      <c r="L497" s="40"/>
    </row>
    <row r="498">
      <c r="K498" s="40"/>
      <c r="L498" s="40"/>
    </row>
    <row r="499">
      <c r="K499" s="40"/>
      <c r="L499" s="40"/>
    </row>
    <row r="500">
      <c r="K500" s="40"/>
      <c r="L500" s="40"/>
    </row>
    <row r="501">
      <c r="K501" s="40"/>
      <c r="L501" s="40"/>
    </row>
    <row r="502">
      <c r="K502" s="40"/>
      <c r="L502" s="40"/>
    </row>
    <row r="503">
      <c r="K503" s="40"/>
      <c r="L503" s="40"/>
    </row>
    <row r="504">
      <c r="K504" s="40"/>
      <c r="L504" s="40"/>
    </row>
    <row r="505">
      <c r="K505" s="40"/>
      <c r="L505" s="40"/>
    </row>
    <row r="506">
      <c r="K506" s="40"/>
      <c r="L506" s="40"/>
    </row>
    <row r="507">
      <c r="K507" s="40"/>
      <c r="L507" s="40"/>
    </row>
    <row r="508">
      <c r="K508" s="40"/>
      <c r="L508" s="40"/>
    </row>
    <row r="509">
      <c r="K509" s="40"/>
      <c r="L509" s="40"/>
    </row>
    <row r="510">
      <c r="K510" s="40"/>
      <c r="L510" s="40"/>
    </row>
    <row r="511">
      <c r="K511" s="40"/>
      <c r="L511" s="40"/>
    </row>
    <row r="512">
      <c r="K512" s="40"/>
      <c r="L512" s="40"/>
    </row>
    <row r="513">
      <c r="K513" s="40"/>
      <c r="L513" s="40"/>
    </row>
    <row r="514">
      <c r="K514" s="40"/>
      <c r="L514" s="40"/>
    </row>
    <row r="515">
      <c r="K515" s="40"/>
      <c r="L515" s="40"/>
    </row>
    <row r="516">
      <c r="K516" s="40"/>
      <c r="L516" s="40"/>
    </row>
    <row r="517">
      <c r="K517" s="40"/>
      <c r="L517" s="40"/>
    </row>
    <row r="518">
      <c r="K518" s="40"/>
      <c r="L518" s="40"/>
    </row>
    <row r="519">
      <c r="K519" s="40"/>
      <c r="L519" s="40"/>
    </row>
    <row r="520">
      <c r="K520" s="40"/>
      <c r="L520" s="40"/>
    </row>
    <row r="521">
      <c r="K521" s="40"/>
      <c r="L521" s="40"/>
    </row>
    <row r="522">
      <c r="K522" s="40"/>
      <c r="L522" s="40"/>
    </row>
    <row r="523">
      <c r="K523" s="40"/>
      <c r="L523" s="40"/>
    </row>
    <row r="524">
      <c r="K524" s="40"/>
      <c r="L524" s="40"/>
    </row>
    <row r="525">
      <c r="K525" s="40"/>
      <c r="L525" s="40"/>
    </row>
    <row r="526">
      <c r="K526" s="40"/>
      <c r="L526" s="40"/>
    </row>
    <row r="527">
      <c r="K527" s="40"/>
      <c r="L527" s="40"/>
    </row>
    <row r="528">
      <c r="K528" s="40"/>
      <c r="L528" s="40"/>
    </row>
    <row r="529">
      <c r="K529" s="40"/>
      <c r="L529" s="40"/>
    </row>
    <row r="530">
      <c r="K530" s="40"/>
      <c r="L530" s="40"/>
    </row>
    <row r="531">
      <c r="K531" s="40"/>
      <c r="L531" s="40"/>
    </row>
    <row r="532">
      <c r="K532" s="40"/>
      <c r="L532" s="40"/>
    </row>
    <row r="533">
      <c r="K533" s="40"/>
      <c r="L533" s="40"/>
    </row>
    <row r="534">
      <c r="K534" s="40"/>
      <c r="L534" s="40"/>
    </row>
    <row r="535">
      <c r="K535" s="40"/>
      <c r="L535" s="40"/>
    </row>
    <row r="536">
      <c r="K536" s="40"/>
      <c r="L536" s="40"/>
    </row>
    <row r="537">
      <c r="K537" s="40"/>
      <c r="L537" s="40"/>
    </row>
    <row r="538">
      <c r="K538" s="40"/>
      <c r="L538" s="40"/>
    </row>
    <row r="539">
      <c r="K539" s="40"/>
      <c r="L539" s="40"/>
    </row>
    <row r="540">
      <c r="K540" s="40"/>
      <c r="L540" s="40"/>
    </row>
    <row r="541">
      <c r="K541" s="40"/>
      <c r="L541" s="40"/>
    </row>
    <row r="542">
      <c r="K542" s="40"/>
      <c r="L542" s="40"/>
    </row>
    <row r="543">
      <c r="K543" s="40"/>
      <c r="L543" s="40"/>
    </row>
    <row r="544">
      <c r="K544" s="40"/>
      <c r="L544" s="40"/>
    </row>
    <row r="545">
      <c r="K545" s="40"/>
      <c r="L545" s="40"/>
    </row>
    <row r="546">
      <c r="K546" s="40"/>
      <c r="L546" s="40"/>
    </row>
    <row r="547">
      <c r="K547" s="40"/>
      <c r="L547" s="40"/>
    </row>
    <row r="548">
      <c r="K548" s="40"/>
      <c r="L548" s="40"/>
    </row>
    <row r="549">
      <c r="K549" s="40"/>
      <c r="L549" s="40"/>
    </row>
    <row r="550">
      <c r="K550" s="40"/>
      <c r="L550" s="40"/>
    </row>
    <row r="551">
      <c r="K551" s="40"/>
      <c r="L551" s="40"/>
    </row>
    <row r="552">
      <c r="K552" s="40"/>
      <c r="L552" s="40"/>
    </row>
    <row r="553">
      <c r="K553" s="40"/>
      <c r="L553" s="40"/>
    </row>
    <row r="554">
      <c r="K554" s="40"/>
      <c r="L554" s="40"/>
    </row>
    <row r="555">
      <c r="K555" s="40"/>
      <c r="L555" s="40"/>
    </row>
    <row r="556">
      <c r="K556" s="40"/>
      <c r="L556" s="40"/>
    </row>
    <row r="557">
      <c r="K557" s="40"/>
      <c r="L557" s="40"/>
    </row>
    <row r="558">
      <c r="K558" s="40"/>
      <c r="L558" s="40"/>
    </row>
    <row r="559">
      <c r="K559" s="40"/>
      <c r="L559" s="40"/>
    </row>
    <row r="560">
      <c r="K560" s="40"/>
      <c r="L560" s="40"/>
    </row>
    <row r="561">
      <c r="K561" s="40"/>
      <c r="L561" s="40"/>
    </row>
    <row r="562">
      <c r="K562" s="40"/>
      <c r="L562" s="40"/>
    </row>
    <row r="563">
      <c r="K563" s="40"/>
      <c r="L563" s="40"/>
    </row>
    <row r="564">
      <c r="K564" s="40"/>
      <c r="L564" s="40"/>
    </row>
    <row r="565">
      <c r="K565" s="40"/>
      <c r="L565" s="40"/>
    </row>
    <row r="566">
      <c r="K566" s="40"/>
      <c r="L566" s="40"/>
    </row>
    <row r="567">
      <c r="K567" s="40"/>
      <c r="L567" s="40"/>
    </row>
    <row r="568">
      <c r="K568" s="40"/>
      <c r="L568" s="40"/>
    </row>
    <row r="569">
      <c r="K569" s="40"/>
      <c r="L569" s="40"/>
    </row>
    <row r="570">
      <c r="K570" s="40"/>
      <c r="L570" s="40"/>
    </row>
    <row r="571">
      <c r="K571" s="40"/>
      <c r="L571" s="40"/>
    </row>
    <row r="572">
      <c r="K572" s="40"/>
      <c r="L572" s="40"/>
    </row>
    <row r="573">
      <c r="K573" s="40"/>
      <c r="L573" s="40"/>
    </row>
    <row r="574">
      <c r="K574" s="40"/>
      <c r="L574" s="40"/>
    </row>
    <row r="575">
      <c r="K575" s="40"/>
      <c r="L575" s="40"/>
    </row>
    <row r="576">
      <c r="K576" s="40"/>
      <c r="L576" s="40"/>
    </row>
    <row r="577">
      <c r="K577" s="40"/>
      <c r="L577" s="40"/>
    </row>
    <row r="578">
      <c r="K578" s="40"/>
      <c r="L578" s="40"/>
    </row>
    <row r="579">
      <c r="K579" s="40"/>
      <c r="L579" s="40"/>
    </row>
    <row r="580">
      <c r="K580" s="40"/>
      <c r="L580" s="40"/>
    </row>
    <row r="581">
      <c r="K581" s="40"/>
      <c r="L581" s="40"/>
    </row>
    <row r="582">
      <c r="K582" s="40"/>
      <c r="L582" s="40"/>
    </row>
    <row r="583">
      <c r="K583" s="40"/>
      <c r="L583" s="40"/>
    </row>
    <row r="584">
      <c r="K584" s="40"/>
      <c r="L584" s="40"/>
    </row>
    <row r="585">
      <c r="K585" s="40"/>
      <c r="L585" s="40"/>
    </row>
    <row r="586">
      <c r="K586" s="40"/>
      <c r="L586" s="40"/>
    </row>
    <row r="587">
      <c r="K587" s="40"/>
      <c r="L587" s="40"/>
    </row>
    <row r="588">
      <c r="K588" s="40"/>
      <c r="L588" s="40"/>
    </row>
    <row r="589">
      <c r="K589" s="40"/>
      <c r="L589" s="40"/>
    </row>
    <row r="590">
      <c r="K590" s="40"/>
      <c r="L590" s="40"/>
    </row>
    <row r="591">
      <c r="K591" s="40"/>
      <c r="L591" s="40"/>
    </row>
    <row r="592">
      <c r="K592" s="40"/>
      <c r="L592" s="40"/>
    </row>
    <row r="593">
      <c r="K593" s="40"/>
      <c r="L593" s="40"/>
    </row>
    <row r="594">
      <c r="K594" s="40"/>
      <c r="L594" s="40"/>
    </row>
    <row r="595">
      <c r="K595" s="40"/>
      <c r="L595" s="40"/>
    </row>
    <row r="596">
      <c r="K596" s="40"/>
      <c r="L596" s="40"/>
    </row>
    <row r="597">
      <c r="K597" s="40"/>
      <c r="L597" s="40"/>
    </row>
    <row r="598">
      <c r="K598" s="40"/>
      <c r="L598" s="40"/>
    </row>
    <row r="599">
      <c r="K599" s="40"/>
      <c r="L599" s="40"/>
    </row>
    <row r="600">
      <c r="K600" s="40"/>
      <c r="L600" s="40"/>
    </row>
    <row r="601">
      <c r="K601" s="40"/>
      <c r="L601" s="40"/>
    </row>
    <row r="602">
      <c r="K602" s="40"/>
      <c r="L602" s="40"/>
    </row>
    <row r="603">
      <c r="K603" s="40"/>
      <c r="L603" s="40"/>
    </row>
    <row r="604">
      <c r="K604" s="40"/>
      <c r="L604" s="40"/>
    </row>
    <row r="605">
      <c r="K605" s="40"/>
      <c r="L605" s="40"/>
    </row>
    <row r="606">
      <c r="K606" s="40"/>
      <c r="L606" s="40"/>
    </row>
    <row r="607">
      <c r="K607" s="40"/>
      <c r="L607" s="40"/>
    </row>
    <row r="608">
      <c r="K608" s="40"/>
      <c r="L608" s="40"/>
    </row>
    <row r="609">
      <c r="K609" s="40"/>
      <c r="L609" s="40"/>
    </row>
    <row r="610">
      <c r="K610" s="40"/>
      <c r="L610" s="40"/>
    </row>
    <row r="611">
      <c r="K611" s="40"/>
      <c r="L611" s="40"/>
    </row>
    <row r="612">
      <c r="K612" s="40"/>
      <c r="L612" s="40"/>
    </row>
    <row r="613">
      <c r="K613" s="40"/>
      <c r="L613" s="40"/>
    </row>
    <row r="614">
      <c r="K614" s="40"/>
      <c r="L614" s="40"/>
    </row>
    <row r="615">
      <c r="K615" s="40"/>
      <c r="L615" s="40"/>
    </row>
    <row r="616">
      <c r="K616" s="40"/>
      <c r="L616" s="40"/>
    </row>
    <row r="617">
      <c r="K617" s="40"/>
      <c r="L617" s="40"/>
    </row>
    <row r="618">
      <c r="K618" s="40"/>
      <c r="L618" s="40"/>
    </row>
    <row r="619">
      <c r="K619" s="40"/>
      <c r="L619" s="40"/>
    </row>
    <row r="620">
      <c r="K620" s="40"/>
      <c r="L620" s="40"/>
    </row>
    <row r="621">
      <c r="K621" s="40"/>
      <c r="L621" s="40"/>
    </row>
    <row r="622">
      <c r="K622" s="40"/>
      <c r="L622" s="40"/>
    </row>
    <row r="623">
      <c r="K623" s="40"/>
      <c r="L623" s="40"/>
    </row>
    <row r="624">
      <c r="K624" s="40"/>
      <c r="L624" s="40"/>
    </row>
    <row r="625">
      <c r="K625" s="40"/>
      <c r="L625" s="40"/>
    </row>
    <row r="626">
      <c r="K626" s="40"/>
      <c r="L626" s="40"/>
    </row>
    <row r="627">
      <c r="K627" s="40"/>
      <c r="L627" s="40"/>
    </row>
    <row r="628">
      <c r="K628" s="40"/>
      <c r="L628" s="40"/>
    </row>
    <row r="629">
      <c r="K629" s="40"/>
      <c r="L629" s="40"/>
    </row>
    <row r="630">
      <c r="K630" s="40"/>
      <c r="L630" s="40"/>
    </row>
    <row r="631">
      <c r="K631" s="40"/>
      <c r="L631" s="40"/>
    </row>
    <row r="632">
      <c r="K632" s="40"/>
      <c r="L632" s="40"/>
    </row>
    <row r="633">
      <c r="K633" s="40"/>
      <c r="L633" s="40"/>
    </row>
    <row r="634">
      <c r="K634" s="40"/>
      <c r="L634" s="40"/>
    </row>
    <row r="635">
      <c r="K635" s="40"/>
      <c r="L635" s="40"/>
    </row>
    <row r="636">
      <c r="K636" s="40"/>
      <c r="L636" s="40"/>
    </row>
    <row r="637">
      <c r="K637" s="40"/>
      <c r="L637" s="40"/>
    </row>
    <row r="638">
      <c r="K638" s="40"/>
      <c r="L638" s="40"/>
    </row>
    <row r="639">
      <c r="K639" s="40"/>
      <c r="L639" s="40"/>
    </row>
    <row r="640">
      <c r="K640" s="40"/>
      <c r="L640" s="40"/>
    </row>
    <row r="641">
      <c r="K641" s="40"/>
      <c r="L641" s="40"/>
    </row>
    <row r="642">
      <c r="K642" s="40"/>
      <c r="L642" s="40"/>
    </row>
    <row r="643">
      <c r="K643" s="40"/>
      <c r="L643" s="40"/>
    </row>
    <row r="644">
      <c r="K644" s="40"/>
      <c r="L644" s="40"/>
    </row>
    <row r="645">
      <c r="K645" s="40"/>
      <c r="L645" s="40"/>
    </row>
    <row r="646">
      <c r="K646" s="40"/>
      <c r="L646" s="40"/>
    </row>
    <row r="647">
      <c r="K647" s="40"/>
      <c r="L647" s="40"/>
    </row>
    <row r="648">
      <c r="K648" s="40"/>
      <c r="L648" s="40"/>
    </row>
    <row r="649">
      <c r="K649" s="40"/>
      <c r="L649" s="40"/>
    </row>
    <row r="650">
      <c r="K650" s="40"/>
      <c r="L650" s="40"/>
    </row>
    <row r="651">
      <c r="K651" s="40"/>
      <c r="L651" s="40"/>
    </row>
    <row r="652">
      <c r="K652" s="40"/>
      <c r="L652" s="40"/>
    </row>
    <row r="653">
      <c r="K653" s="40"/>
      <c r="L653" s="40"/>
    </row>
    <row r="654">
      <c r="K654" s="40"/>
      <c r="L654" s="40"/>
    </row>
    <row r="655">
      <c r="K655" s="40"/>
      <c r="L655" s="40"/>
    </row>
    <row r="656">
      <c r="K656" s="40"/>
      <c r="L656" s="40"/>
    </row>
    <row r="657">
      <c r="K657" s="40"/>
      <c r="L657" s="40"/>
    </row>
    <row r="658">
      <c r="K658" s="40"/>
      <c r="L658" s="40"/>
    </row>
    <row r="659">
      <c r="K659" s="40"/>
      <c r="L659" s="40"/>
    </row>
    <row r="660">
      <c r="K660" s="40"/>
      <c r="L660" s="40"/>
    </row>
    <row r="661">
      <c r="K661" s="40"/>
      <c r="L661" s="40"/>
    </row>
    <row r="662">
      <c r="K662" s="40"/>
      <c r="L662" s="40"/>
    </row>
    <row r="663">
      <c r="K663" s="40"/>
      <c r="L663" s="40"/>
    </row>
    <row r="664">
      <c r="K664" s="40"/>
      <c r="L664" s="40"/>
    </row>
    <row r="665">
      <c r="K665" s="40"/>
      <c r="L665" s="40"/>
    </row>
    <row r="666">
      <c r="K666" s="40"/>
      <c r="L666" s="40"/>
    </row>
    <row r="667">
      <c r="K667" s="40"/>
      <c r="L667" s="40"/>
    </row>
    <row r="668">
      <c r="K668" s="40"/>
      <c r="L668" s="40"/>
    </row>
    <row r="669">
      <c r="K669" s="40"/>
      <c r="L669" s="40"/>
    </row>
    <row r="670">
      <c r="K670" s="40"/>
      <c r="L670" s="40"/>
    </row>
    <row r="671">
      <c r="K671" s="40"/>
      <c r="L671" s="40"/>
    </row>
    <row r="672">
      <c r="K672" s="40"/>
      <c r="L672" s="40"/>
    </row>
    <row r="673">
      <c r="K673" s="40"/>
      <c r="L673" s="40"/>
    </row>
    <row r="674">
      <c r="K674" s="40"/>
      <c r="L674" s="40"/>
    </row>
    <row r="675">
      <c r="K675" s="40"/>
      <c r="L675" s="40"/>
    </row>
    <row r="676">
      <c r="K676" s="40"/>
      <c r="L676" s="40"/>
    </row>
    <row r="677">
      <c r="K677" s="40"/>
      <c r="L677" s="40"/>
    </row>
    <row r="678">
      <c r="K678" s="40"/>
      <c r="L678" s="40"/>
    </row>
    <row r="679">
      <c r="K679" s="40"/>
      <c r="L679" s="40"/>
    </row>
    <row r="680">
      <c r="K680" s="40"/>
      <c r="L680" s="40"/>
    </row>
    <row r="681">
      <c r="K681" s="40"/>
      <c r="L681" s="40"/>
    </row>
    <row r="682">
      <c r="K682" s="40"/>
      <c r="L682" s="40"/>
    </row>
    <row r="683">
      <c r="K683" s="40"/>
      <c r="L683" s="40"/>
    </row>
    <row r="684">
      <c r="K684" s="40"/>
      <c r="L684" s="40"/>
    </row>
    <row r="685">
      <c r="K685" s="40"/>
      <c r="L685" s="40"/>
    </row>
    <row r="686">
      <c r="K686" s="40"/>
      <c r="L686" s="40"/>
    </row>
    <row r="687">
      <c r="K687" s="40"/>
      <c r="L687" s="40"/>
    </row>
    <row r="688">
      <c r="K688" s="40"/>
      <c r="L688" s="40"/>
    </row>
    <row r="689">
      <c r="K689" s="40"/>
      <c r="L689" s="40"/>
    </row>
    <row r="690">
      <c r="K690" s="40"/>
      <c r="L690" s="40"/>
    </row>
    <row r="691">
      <c r="K691" s="40"/>
      <c r="L691" s="40"/>
    </row>
    <row r="692">
      <c r="K692" s="40"/>
      <c r="L692" s="40"/>
    </row>
    <row r="693">
      <c r="K693" s="40"/>
      <c r="L693" s="40"/>
    </row>
    <row r="694">
      <c r="K694" s="40"/>
      <c r="L694" s="40"/>
    </row>
    <row r="695">
      <c r="K695" s="40"/>
      <c r="L695" s="40"/>
    </row>
    <row r="696">
      <c r="K696" s="40"/>
      <c r="L696" s="40"/>
    </row>
    <row r="697">
      <c r="K697" s="40"/>
      <c r="L697" s="40"/>
    </row>
    <row r="698">
      <c r="K698" s="40"/>
      <c r="L698" s="40"/>
    </row>
    <row r="699">
      <c r="K699" s="40"/>
      <c r="L699" s="40"/>
    </row>
    <row r="700">
      <c r="K700" s="40"/>
      <c r="L700" s="40"/>
    </row>
    <row r="701">
      <c r="K701" s="40"/>
      <c r="L701" s="40"/>
    </row>
    <row r="702">
      <c r="K702" s="40"/>
      <c r="L702" s="40"/>
    </row>
    <row r="703">
      <c r="K703" s="40"/>
      <c r="L703" s="40"/>
    </row>
    <row r="704">
      <c r="K704" s="40"/>
      <c r="L704" s="40"/>
    </row>
    <row r="705">
      <c r="K705" s="40"/>
      <c r="L705" s="40"/>
    </row>
    <row r="706">
      <c r="K706" s="40"/>
      <c r="L706" s="40"/>
    </row>
    <row r="707">
      <c r="K707" s="40"/>
      <c r="L707" s="40"/>
    </row>
    <row r="708">
      <c r="K708" s="40"/>
      <c r="L708" s="40"/>
    </row>
    <row r="709">
      <c r="K709" s="40"/>
      <c r="L709" s="40"/>
    </row>
    <row r="710">
      <c r="K710" s="40"/>
      <c r="L710" s="40"/>
    </row>
    <row r="711">
      <c r="K711" s="40"/>
      <c r="L711" s="40"/>
    </row>
    <row r="712">
      <c r="K712" s="40"/>
      <c r="L712" s="40"/>
    </row>
    <row r="713">
      <c r="K713" s="40"/>
      <c r="L713" s="40"/>
    </row>
    <row r="714">
      <c r="K714" s="40"/>
      <c r="L714" s="40"/>
    </row>
    <row r="715">
      <c r="K715" s="40"/>
      <c r="L715" s="40"/>
    </row>
    <row r="716">
      <c r="K716" s="40"/>
      <c r="L716" s="40"/>
    </row>
    <row r="717">
      <c r="K717" s="40"/>
      <c r="L717" s="40"/>
    </row>
    <row r="718">
      <c r="K718" s="40"/>
      <c r="L718" s="40"/>
    </row>
    <row r="719">
      <c r="K719" s="40"/>
      <c r="L719" s="40"/>
    </row>
    <row r="720">
      <c r="K720" s="40"/>
      <c r="L720" s="40"/>
    </row>
    <row r="721">
      <c r="K721" s="40"/>
      <c r="L721" s="40"/>
    </row>
    <row r="722">
      <c r="K722" s="40"/>
      <c r="L722" s="40"/>
    </row>
    <row r="723">
      <c r="K723" s="40"/>
      <c r="L723" s="40"/>
    </row>
    <row r="724">
      <c r="K724" s="40"/>
      <c r="L724" s="40"/>
    </row>
    <row r="725">
      <c r="K725" s="40"/>
      <c r="L725" s="40"/>
    </row>
    <row r="726">
      <c r="K726" s="40"/>
      <c r="L726" s="40"/>
    </row>
    <row r="727">
      <c r="K727" s="40"/>
      <c r="L727" s="40"/>
    </row>
    <row r="728">
      <c r="K728" s="40"/>
      <c r="L728" s="40"/>
    </row>
    <row r="729">
      <c r="K729" s="40"/>
      <c r="L729" s="40"/>
    </row>
    <row r="730">
      <c r="K730" s="40"/>
      <c r="L730" s="40"/>
    </row>
    <row r="731">
      <c r="K731" s="40"/>
      <c r="L731" s="40"/>
    </row>
    <row r="732">
      <c r="K732" s="40"/>
      <c r="L732" s="40"/>
    </row>
    <row r="733">
      <c r="K733" s="40"/>
      <c r="L733" s="40"/>
    </row>
    <row r="734">
      <c r="K734" s="40"/>
      <c r="L734" s="40"/>
    </row>
    <row r="735">
      <c r="K735" s="40"/>
      <c r="L735" s="40"/>
    </row>
    <row r="736">
      <c r="K736" s="40"/>
      <c r="L736" s="40"/>
    </row>
    <row r="737">
      <c r="K737" s="40"/>
      <c r="L737" s="40"/>
    </row>
    <row r="738">
      <c r="K738" s="40"/>
      <c r="L738" s="40"/>
    </row>
    <row r="739">
      <c r="K739" s="40"/>
      <c r="L739" s="40"/>
    </row>
    <row r="740">
      <c r="K740" s="40"/>
      <c r="L740" s="40"/>
    </row>
    <row r="741">
      <c r="K741" s="40"/>
      <c r="L741" s="40"/>
    </row>
    <row r="742">
      <c r="K742" s="40"/>
      <c r="L742" s="40"/>
    </row>
    <row r="743">
      <c r="K743" s="40"/>
      <c r="L743" s="40"/>
    </row>
    <row r="744">
      <c r="K744" s="40"/>
      <c r="L744" s="40"/>
    </row>
    <row r="745">
      <c r="K745" s="40"/>
      <c r="L745" s="40"/>
    </row>
    <row r="746">
      <c r="K746" s="40"/>
      <c r="L746" s="40"/>
    </row>
    <row r="747">
      <c r="K747" s="40"/>
      <c r="L747" s="40"/>
    </row>
    <row r="748">
      <c r="K748" s="40"/>
      <c r="L748" s="40"/>
    </row>
    <row r="749">
      <c r="K749" s="40"/>
      <c r="L749" s="40"/>
    </row>
    <row r="750">
      <c r="K750" s="40"/>
      <c r="L750" s="40"/>
    </row>
    <row r="751">
      <c r="K751" s="40"/>
      <c r="L751" s="40"/>
    </row>
    <row r="752">
      <c r="K752" s="40"/>
      <c r="L752" s="40"/>
    </row>
    <row r="753">
      <c r="K753" s="40"/>
      <c r="L753" s="40"/>
    </row>
    <row r="754">
      <c r="K754" s="40"/>
      <c r="L754" s="40"/>
    </row>
    <row r="755">
      <c r="K755" s="40"/>
      <c r="L755" s="40"/>
    </row>
    <row r="756">
      <c r="K756" s="40"/>
      <c r="L756" s="40"/>
    </row>
    <row r="757">
      <c r="K757" s="40"/>
      <c r="L757" s="40"/>
    </row>
    <row r="758">
      <c r="K758" s="40"/>
      <c r="L758" s="40"/>
    </row>
    <row r="759">
      <c r="K759" s="40"/>
      <c r="L759" s="40"/>
    </row>
    <row r="760">
      <c r="K760" s="40"/>
      <c r="L760" s="40"/>
    </row>
    <row r="761">
      <c r="K761" s="40"/>
      <c r="L761" s="40"/>
    </row>
    <row r="762">
      <c r="K762" s="40"/>
      <c r="L762" s="40"/>
    </row>
    <row r="763">
      <c r="K763" s="40"/>
      <c r="L763" s="40"/>
    </row>
    <row r="764">
      <c r="K764" s="40"/>
      <c r="L764" s="40"/>
    </row>
    <row r="765">
      <c r="K765" s="40"/>
      <c r="L765" s="40"/>
    </row>
    <row r="766">
      <c r="K766" s="40"/>
      <c r="L766" s="40"/>
    </row>
    <row r="767">
      <c r="K767" s="40"/>
      <c r="L767" s="40"/>
    </row>
    <row r="768">
      <c r="K768" s="40"/>
      <c r="L768" s="40"/>
    </row>
    <row r="769">
      <c r="K769" s="40"/>
      <c r="L769" s="40"/>
    </row>
    <row r="770">
      <c r="K770" s="40"/>
      <c r="L770" s="40"/>
    </row>
    <row r="771">
      <c r="K771" s="40"/>
      <c r="L771" s="40"/>
    </row>
    <row r="772">
      <c r="K772" s="40"/>
      <c r="L772" s="40"/>
    </row>
    <row r="773">
      <c r="K773" s="40"/>
      <c r="L773" s="40"/>
    </row>
    <row r="774">
      <c r="K774" s="40"/>
      <c r="L774" s="40"/>
    </row>
    <row r="775">
      <c r="K775" s="40"/>
      <c r="L775" s="40"/>
    </row>
    <row r="776">
      <c r="K776" s="40"/>
      <c r="L776" s="40"/>
    </row>
    <row r="777">
      <c r="K777" s="40"/>
      <c r="L777" s="40"/>
    </row>
    <row r="778">
      <c r="K778" s="40"/>
      <c r="L778" s="40"/>
    </row>
    <row r="779">
      <c r="K779" s="40"/>
      <c r="L779" s="40"/>
    </row>
    <row r="780">
      <c r="K780" s="40"/>
      <c r="L780" s="40"/>
    </row>
    <row r="781">
      <c r="K781" s="40"/>
      <c r="L781" s="40"/>
    </row>
    <row r="782">
      <c r="K782" s="40"/>
      <c r="L782" s="40"/>
    </row>
    <row r="783">
      <c r="K783" s="40"/>
      <c r="L783" s="40"/>
    </row>
    <row r="784">
      <c r="K784" s="40"/>
      <c r="L784" s="40"/>
    </row>
    <row r="785">
      <c r="K785" s="40"/>
      <c r="L785" s="40"/>
    </row>
    <row r="786">
      <c r="K786" s="40"/>
      <c r="L786" s="40"/>
    </row>
    <row r="787">
      <c r="K787" s="40"/>
      <c r="L787" s="40"/>
    </row>
    <row r="788">
      <c r="K788" s="40"/>
      <c r="L788" s="40"/>
    </row>
    <row r="789">
      <c r="K789" s="40"/>
      <c r="L789" s="40"/>
    </row>
    <row r="790">
      <c r="K790" s="40"/>
      <c r="L790" s="40"/>
    </row>
    <row r="791">
      <c r="K791" s="40"/>
      <c r="L791" s="40"/>
    </row>
    <row r="792">
      <c r="K792" s="40"/>
      <c r="L792" s="40"/>
    </row>
    <row r="793">
      <c r="K793" s="40"/>
      <c r="L793" s="40"/>
    </row>
    <row r="794">
      <c r="K794" s="40"/>
      <c r="L794" s="40"/>
    </row>
    <row r="795">
      <c r="K795" s="40"/>
      <c r="L795" s="40"/>
    </row>
    <row r="796">
      <c r="K796" s="40"/>
      <c r="L796" s="40"/>
    </row>
    <row r="797">
      <c r="K797" s="40"/>
      <c r="L797" s="40"/>
    </row>
    <row r="798">
      <c r="K798" s="40"/>
      <c r="L798" s="40"/>
    </row>
    <row r="799">
      <c r="K799" s="40"/>
      <c r="L799" s="40"/>
    </row>
    <row r="800">
      <c r="K800" s="40"/>
      <c r="L800" s="40"/>
    </row>
    <row r="801">
      <c r="K801" s="40"/>
      <c r="L801" s="40"/>
    </row>
    <row r="802">
      <c r="K802" s="40"/>
      <c r="L802" s="40"/>
    </row>
    <row r="803">
      <c r="K803" s="40"/>
      <c r="L803" s="40"/>
    </row>
    <row r="804">
      <c r="K804" s="40"/>
      <c r="L804" s="40"/>
    </row>
    <row r="805">
      <c r="K805" s="40"/>
      <c r="L805" s="40"/>
    </row>
    <row r="806">
      <c r="K806" s="40"/>
      <c r="L806" s="40"/>
    </row>
    <row r="807">
      <c r="K807" s="40"/>
      <c r="L807" s="40"/>
    </row>
    <row r="808">
      <c r="K808" s="40"/>
      <c r="L808" s="40"/>
    </row>
    <row r="809">
      <c r="K809" s="40"/>
      <c r="L809" s="40"/>
    </row>
    <row r="810">
      <c r="K810" s="40"/>
      <c r="L810" s="40"/>
    </row>
    <row r="811">
      <c r="K811" s="40"/>
      <c r="L811" s="40"/>
    </row>
    <row r="812">
      <c r="K812" s="40"/>
      <c r="L812" s="40"/>
    </row>
    <row r="813">
      <c r="K813" s="40"/>
      <c r="L813" s="40"/>
    </row>
    <row r="814">
      <c r="K814" s="40"/>
      <c r="L814" s="40"/>
    </row>
    <row r="815">
      <c r="K815" s="40"/>
      <c r="L815" s="40"/>
    </row>
    <row r="816">
      <c r="K816" s="40"/>
      <c r="L816" s="40"/>
    </row>
    <row r="817">
      <c r="K817" s="40"/>
      <c r="L817" s="40"/>
    </row>
    <row r="818">
      <c r="K818" s="40"/>
      <c r="L818" s="40"/>
    </row>
    <row r="819">
      <c r="K819" s="40"/>
      <c r="L819" s="40"/>
    </row>
    <row r="820">
      <c r="K820" s="40"/>
      <c r="L820" s="40"/>
    </row>
    <row r="821">
      <c r="K821" s="40"/>
      <c r="L821" s="40"/>
    </row>
    <row r="822">
      <c r="K822" s="40"/>
      <c r="L822" s="40"/>
    </row>
    <row r="823">
      <c r="K823" s="40"/>
      <c r="L823" s="40"/>
    </row>
    <row r="824">
      <c r="K824" s="40"/>
      <c r="L824" s="40"/>
    </row>
    <row r="825">
      <c r="K825" s="40"/>
      <c r="L825" s="40"/>
    </row>
    <row r="826">
      <c r="K826" s="40"/>
      <c r="L826" s="40"/>
    </row>
    <row r="827">
      <c r="K827" s="40"/>
      <c r="L827" s="40"/>
    </row>
    <row r="828">
      <c r="K828" s="40"/>
      <c r="L828" s="40"/>
    </row>
    <row r="829">
      <c r="K829" s="40"/>
      <c r="L829" s="40"/>
    </row>
    <row r="830">
      <c r="K830" s="40"/>
      <c r="L830" s="40"/>
    </row>
    <row r="831">
      <c r="K831" s="40"/>
      <c r="L831" s="40"/>
    </row>
    <row r="832">
      <c r="K832" s="40"/>
      <c r="L832" s="40"/>
    </row>
    <row r="833">
      <c r="K833" s="40"/>
      <c r="L833" s="40"/>
    </row>
    <row r="834">
      <c r="K834" s="40"/>
      <c r="L834" s="40"/>
    </row>
    <row r="835">
      <c r="K835" s="40"/>
      <c r="L835" s="40"/>
    </row>
    <row r="836">
      <c r="K836" s="40"/>
      <c r="L836" s="40"/>
    </row>
    <row r="837">
      <c r="K837" s="40"/>
      <c r="L837" s="40"/>
    </row>
    <row r="838">
      <c r="K838" s="40"/>
      <c r="L838" s="40"/>
    </row>
    <row r="839">
      <c r="K839" s="40"/>
      <c r="L839" s="40"/>
    </row>
    <row r="840">
      <c r="K840" s="40"/>
      <c r="L840" s="40"/>
    </row>
    <row r="841">
      <c r="K841" s="40"/>
      <c r="L841" s="40"/>
    </row>
    <row r="842">
      <c r="K842" s="40"/>
      <c r="L842" s="40"/>
    </row>
    <row r="843">
      <c r="K843" s="40"/>
      <c r="L843" s="40"/>
    </row>
    <row r="844">
      <c r="K844" s="40"/>
      <c r="L844" s="40"/>
    </row>
    <row r="845">
      <c r="K845" s="40"/>
      <c r="L845" s="40"/>
    </row>
    <row r="846">
      <c r="K846" s="40"/>
      <c r="L846" s="40"/>
    </row>
    <row r="847">
      <c r="K847" s="40"/>
      <c r="L847" s="40"/>
    </row>
    <row r="848">
      <c r="K848" s="40"/>
      <c r="L848" s="40"/>
    </row>
    <row r="849">
      <c r="K849" s="40"/>
      <c r="L849" s="40"/>
    </row>
    <row r="850">
      <c r="K850" s="40"/>
      <c r="L850" s="40"/>
    </row>
    <row r="851">
      <c r="K851" s="40"/>
      <c r="L851" s="40"/>
    </row>
    <row r="852">
      <c r="K852" s="40"/>
      <c r="L852" s="40"/>
    </row>
    <row r="853">
      <c r="K853" s="40"/>
      <c r="L853" s="40"/>
    </row>
    <row r="854">
      <c r="K854" s="40"/>
      <c r="L854" s="40"/>
    </row>
    <row r="855">
      <c r="K855" s="40"/>
      <c r="L855" s="40"/>
    </row>
    <row r="856">
      <c r="K856" s="40"/>
      <c r="L856" s="40"/>
    </row>
    <row r="857">
      <c r="K857" s="40"/>
      <c r="L857" s="40"/>
    </row>
    <row r="858">
      <c r="K858" s="40"/>
      <c r="L858" s="40"/>
    </row>
    <row r="859">
      <c r="K859" s="40"/>
      <c r="L859" s="40"/>
    </row>
    <row r="860">
      <c r="K860" s="40"/>
      <c r="L860" s="40"/>
    </row>
    <row r="861">
      <c r="K861" s="40"/>
      <c r="L861" s="40"/>
    </row>
    <row r="862">
      <c r="K862" s="40"/>
      <c r="L862" s="40"/>
    </row>
    <row r="863">
      <c r="K863" s="40"/>
      <c r="L863" s="40"/>
    </row>
    <row r="864">
      <c r="K864" s="40"/>
      <c r="L864" s="40"/>
    </row>
    <row r="865">
      <c r="K865" s="40"/>
      <c r="L865" s="40"/>
    </row>
    <row r="866">
      <c r="K866" s="40"/>
      <c r="L866" s="40"/>
    </row>
    <row r="867">
      <c r="K867" s="40"/>
      <c r="L867" s="40"/>
    </row>
    <row r="868">
      <c r="K868" s="40"/>
      <c r="L868" s="40"/>
    </row>
    <row r="869">
      <c r="K869" s="40"/>
      <c r="L869" s="40"/>
    </row>
    <row r="870">
      <c r="K870" s="40"/>
      <c r="L870" s="40"/>
    </row>
    <row r="871">
      <c r="K871" s="40"/>
      <c r="L871" s="40"/>
    </row>
    <row r="872">
      <c r="K872" s="40"/>
      <c r="L872" s="40"/>
    </row>
    <row r="873">
      <c r="K873" s="40"/>
      <c r="L873" s="40"/>
    </row>
    <row r="874">
      <c r="K874" s="40"/>
      <c r="L874" s="40"/>
    </row>
    <row r="875">
      <c r="K875" s="40"/>
      <c r="L875" s="40"/>
    </row>
    <row r="876">
      <c r="K876" s="40"/>
      <c r="L876" s="40"/>
    </row>
    <row r="877">
      <c r="K877" s="40"/>
      <c r="L877" s="40"/>
    </row>
    <row r="878">
      <c r="K878" s="40"/>
      <c r="L878" s="40"/>
    </row>
    <row r="879">
      <c r="K879" s="40"/>
      <c r="L879" s="40"/>
    </row>
    <row r="880">
      <c r="K880" s="40"/>
      <c r="L880" s="40"/>
    </row>
    <row r="881">
      <c r="K881" s="40"/>
      <c r="L881" s="40"/>
    </row>
    <row r="882">
      <c r="K882" s="40"/>
      <c r="L882" s="40"/>
    </row>
    <row r="883">
      <c r="K883" s="40"/>
      <c r="L883" s="40"/>
    </row>
    <row r="884">
      <c r="K884" s="40"/>
      <c r="L884" s="40"/>
    </row>
    <row r="885">
      <c r="K885" s="40"/>
      <c r="L885" s="40"/>
    </row>
    <row r="886">
      <c r="K886" s="40"/>
      <c r="L886" s="40"/>
    </row>
    <row r="887">
      <c r="K887" s="40"/>
      <c r="L887" s="40"/>
    </row>
    <row r="888">
      <c r="K888" s="40"/>
      <c r="L888" s="40"/>
    </row>
    <row r="889">
      <c r="K889" s="40"/>
      <c r="L889" s="40"/>
    </row>
    <row r="890">
      <c r="K890" s="40"/>
      <c r="L890" s="40"/>
    </row>
    <row r="891">
      <c r="K891" s="40"/>
      <c r="L891" s="40"/>
    </row>
    <row r="892">
      <c r="K892" s="40"/>
      <c r="L892" s="40"/>
    </row>
    <row r="893">
      <c r="K893" s="40"/>
      <c r="L893" s="40"/>
    </row>
    <row r="894">
      <c r="K894" s="40"/>
      <c r="L894" s="40"/>
    </row>
    <row r="895">
      <c r="K895" s="40"/>
      <c r="L895" s="40"/>
    </row>
    <row r="896">
      <c r="K896" s="40"/>
      <c r="L896" s="40"/>
    </row>
    <row r="897">
      <c r="K897" s="40"/>
      <c r="L897" s="40"/>
    </row>
    <row r="898">
      <c r="K898" s="40"/>
      <c r="L898" s="40"/>
    </row>
    <row r="899">
      <c r="K899" s="40"/>
      <c r="L899" s="40"/>
    </row>
    <row r="900">
      <c r="K900" s="40"/>
      <c r="L900" s="40"/>
    </row>
    <row r="901">
      <c r="K901" s="40"/>
      <c r="L901" s="40"/>
    </row>
    <row r="902">
      <c r="K902" s="40"/>
      <c r="L902" s="40"/>
    </row>
    <row r="903">
      <c r="K903" s="40"/>
      <c r="L903" s="40"/>
    </row>
    <row r="904">
      <c r="K904" s="40"/>
      <c r="L904" s="40"/>
    </row>
    <row r="905">
      <c r="K905" s="40"/>
      <c r="L905" s="40"/>
    </row>
    <row r="906">
      <c r="K906" s="40"/>
      <c r="L906" s="40"/>
    </row>
    <row r="907">
      <c r="K907" s="40"/>
      <c r="L907" s="40"/>
    </row>
    <row r="908">
      <c r="K908" s="40"/>
      <c r="L908" s="40"/>
    </row>
    <row r="909">
      <c r="K909" s="40"/>
      <c r="L909" s="40"/>
    </row>
    <row r="910">
      <c r="K910" s="40"/>
      <c r="L910" s="40"/>
    </row>
    <row r="911">
      <c r="K911" s="40"/>
      <c r="L911" s="40"/>
    </row>
    <row r="912">
      <c r="K912" s="40"/>
      <c r="L912" s="40"/>
    </row>
    <row r="913">
      <c r="K913" s="40"/>
      <c r="L913" s="40"/>
    </row>
    <row r="914">
      <c r="K914" s="40"/>
      <c r="L914" s="40"/>
    </row>
    <row r="915">
      <c r="K915" s="40"/>
      <c r="L915" s="40"/>
    </row>
    <row r="916">
      <c r="K916" s="40"/>
      <c r="L916" s="40"/>
    </row>
    <row r="917">
      <c r="K917" s="40"/>
      <c r="L917" s="40"/>
    </row>
    <row r="918">
      <c r="K918" s="40"/>
      <c r="L918" s="40"/>
    </row>
    <row r="919">
      <c r="K919" s="40"/>
      <c r="L919" s="40"/>
    </row>
    <row r="920">
      <c r="K920" s="40"/>
      <c r="L920" s="40"/>
    </row>
    <row r="921">
      <c r="K921" s="40"/>
      <c r="L921" s="40"/>
    </row>
    <row r="922">
      <c r="K922" s="40"/>
      <c r="L922" s="40"/>
    </row>
    <row r="923">
      <c r="K923" s="40"/>
      <c r="L923" s="40"/>
    </row>
    <row r="924">
      <c r="K924" s="40"/>
      <c r="L924" s="40"/>
    </row>
    <row r="925">
      <c r="K925" s="40"/>
      <c r="L925" s="40"/>
    </row>
    <row r="926">
      <c r="K926" s="40"/>
      <c r="L926" s="40"/>
    </row>
    <row r="927">
      <c r="K927" s="40"/>
      <c r="L927" s="40"/>
    </row>
    <row r="928">
      <c r="K928" s="40"/>
      <c r="L928" s="40"/>
    </row>
    <row r="929">
      <c r="K929" s="40"/>
      <c r="L929" s="40"/>
    </row>
    <row r="930">
      <c r="K930" s="40"/>
      <c r="L930" s="40"/>
    </row>
    <row r="931">
      <c r="K931" s="40"/>
      <c r="L931" s="40"/>
    </row>
    <row r="932">
      <c r="K932" s="40"/>
      <c r="L932" s="40"/>
    </row>
    <row r="933">
      <c r="K933" s="40"/>
      <c r="L933" s="40"/>
    </row>
    <row r="934">
      <c r="K934" s="40"/>
      <c r="L934" s="40"/>
    </row>
    <row r="935">
      <c r="K935" s="40"/>
      <c r="L935" s="40"/>
    </row>
    <row r="936">
      <c r="K936" s="40"/>
      <c r="L936" s="40"/>
    </row>
    <row r="937">
      <c r="K937" s="40"/>
      <c r="L937" s="40"/>
    </row>
    <row r="938">
      <c r="K938" s="40"/>
      <c r="L938" s="40"/>
    </row>
    <row r="939">
      <c r="K939" s="40"/>
      <c r="L939" s="40"/>
    </row>
    <row r="940">
      <c r="K940" s="40"/>
      <c r="L940" s="40"/>
    </row>
    <row r="941">
      <c r="K941" s="40"/>
      <c r="L941" s="40"/>
    </row>
    <row r="942">
      <c r="K942" s="40"/>
      <c r="L942" s="40"/>
    </row>
    <row r="943">
      <c r="K943" s="40"/>
      <c r="L943" s="40"/>
    </row>
    <row r="944">
      <c r="K944" s="40"/>
      <c r="L944" s="40"/>
    </row>
    <row r="945">
      <c r="K945" s="40"/>
      <c r="L945" s="40"/>
    </row>
    <row r="946">
      <c r="K946" s="40"/>
      <c r="L946" s="40"/>
    </row>
    <row r="947">
      <c r="K947" s="40"/>
      <c r="L947" s="40"/>
    </row>
    <row r="948">
      <c r="K948" s="40"/>
      <c r="L948" s="40"/>
    </row>
    <row r="949">
      <c r="K949" s="40"/>
      <c r="L949" s="40"/>
    </row>
    <row r="950">
      <c r="K950" s="40"/>
      <c r="L950" s="40"/>
    </row>
    <row r="951">
      <c r="K951" s="40"/>
      <c r="L951" s="40"/>
    </row>
    <row r="952">
      <c r="K952" s="40"/>
      <c r="L952" s="40"/>
    </row>
    <row r="953">
      <c r="K953" s="40"/>
      <c r="L953" s="40"/>
    </row>
    <row r="954">
      <c r="K954" s="40"/>
      <c r="L954" s="40"/>
    </row>
    <row r="955">
      <c r="K955" s="40"/>
      <c r="L955" s="40"/>
    </row>
    <row r="956">
      <c r="K956" s="40"/>
      <c r="L956" s="40"/>
    </row>
    <row r="957">
      <c r="K957" s="40"/>
      <c r="L957" s="40"/>
    </row>
    <row r="958">
      <c r="K958" s="40"/>
      <c r="L958" s="40"/>
    </row>
    <row r="959">
      <c r="K959" s="40"/>
      <c r="L959" s="40"/>
    </row>
    <row r="960">
      <c r="K960" s="40"/>
      <c r="L960" s="40"/>
    </row>
    <row r="961">
      <c r="K961" s="40"/>
      <c r="L961" s="40"/>
    </row>
    <row r="962">
      <c r="K962" s="40"/>
      <c r="L962" s="40"/>
    </row>
    <row r="963">
      <c r="K963" s="40"/>
      <c r="L963" s="40"/>
    </row>
    <row r="964">
      <c r="K964" s="40"/>
      <c r="L964" s="40"/>
    </row>
    <row r="965">
      <c r="K965" s="40"/>
      <c r="L965" s="40"/>
    </row>
    <row r="966">
      <c r="K966" s="40"/>
      <c r="L966" s="40"/>
    </row>
    <row r="967">
      <c r="K967" s="40"/>
      <c r="L967" s="40"/>
    </row>
    <row r="968">
      <c r="K968" s="40"/>
      <c r="L968" s="40"/>
    </row>
    <row r="969">
      <c r="K969" s="40"/>
      <c r="L969" s="40"/>
    </row>
    <row r="970">
      <c r="K970" s="40"/>
      <c r="L970" s="40"/>
    </row>
    <row r="971">
      <c r="K971" s="40"/>
      <c r="L971" s="40"/>
    </row>
    <row r="972">
      <c r="K972" s="40"/>
      <c r="L972" s="40"/>
    </row>
    <row r="973">
      <c r="K973" s="40"/>
      <c r="L973" s="40"/>
    </row>
    <row r="974">
      <c r="K974" s="40"/>
      <c r="L974" s="40"/>
    </row>
    <row r="975">
      <c r="K975" s="40"/>
      <c r="L975" s="40"/>
    </row>
    <row r="976">
      <c r="K976" s="40"/>
      <c r="L976" s="40"/>
    </row>
    <row r="977">
      <c r="K977" s="40"/>
      <c r="L977" s="40"/>
    </row>
    <row r="978">
      <c r="K978" s="40"/>
      <c r="L978" s="40"/>
    </row>
    <row r="979">
      <c r="K979" s="40"/>
      <c r="L979" s="40"/>
    </row>
    <row r="980">
      <c r="K980" s="40"/>
      <c r="L980" s="40"/>
    </row>
    <row r="981">
      <c r="K981" s="40"/>
      <c r="L981" s="40"/>
    </row>
    <row r="982">
      <c r="K982" s="40"/>
      <c r="L982" s="40"/>
    </row>
    <row r="983">
      <c r="K983" s="40"/>
      <c r="L983" s="40"/>
    </row>
    <row r="984">
      <c r="K984" s="40"/>
      <c r="L984" s="40"/>
    </row>
    <row r="985">
      <c r="K985" s="40"/>
      <c r="L985" s="40"/>
    </row>
    <row r="986">
      <c r="K986" s="40"/>
      <c r="L986" s="40"/>
    </row>
    <row r="987">
      <c r="K987" s="40"/>
      <c r="L987" s="40"/>
    </row>
    <row r="988">
      <c r="K988" s="40"/>
      <c r="L988" s="40"/>
    </row>
    <row r="989">
      <c r="K989" s="40"/>
      <c r="L989" s="40"/>
    </row>
    <row r="990">
      <c r="K990" s="40"/>
      <c r="L990" s="40"/>
    </row>
    <row r="991">
      <c r="K991" s="40"/>
      <c r="L991" s="40"/>
    </row>
    <row r="992">
      <c r="K992" s="40"/>
      <c r="L992" s="40"/>
    </row>
    <row r="993">
      <c r="K993" s="40"/>
      <c r="L993" s="40"/>
    </row>
    <row r="994">
      <c r="K994" s="40"/>
      <c r="L994" s="40"/>
    </row>
    <row r="995">
      <c r="K995" s="40"/>
      <c r="L995" s="40"/>
    </row>
    <row r="996">
      <c r="K996" s="40"/>
      <c r="L996" s="40"/>
    </row>
    <row r="997">
      <c r="K997" s="40"/>
      <c r="L997" s="40"/>
    </row>
    <row r="998">
      <c r="K998" s="40"/>
      <c r="L998" s="40"/>
    </row>
    <row r="999">
      <c r="K999" s="40"/>
      <c r="L999" s="40"/>
    </row>
    <row r="1000">
      <c r="K1000" s="40"/>
      <c r="L1000" s="40"/>
    </row>
  </sheetData>
  <conditionalFormatting sqref="E2:F81">
    <cfRule type="cellIs" dxfId="6" priority="1" operator="greaterThanOrEqual">
      <formula>1</formula>
    </cfRule>
  </conditionalFormatting>
  <conditionalFormatting sqref="D2:D81 G2:G81">
    <cfRule type="cellIs" dxfId="6" priority="2" operator="greaterThan">
      <formula>0</formula>
    </cfRule>
  </conditionalFormatting>
  <dataValidations>
    <dataValidation type="custom" allowBlank="1" showDropDown="1" sqref="A2:A81 E2:E81">
      <formula1>AND(ISNUMBER(A2),(NOT(OR(NOT(ISERROR(DATEVALUE(A2))), AND(ISNUMBER(A2), LEFT(CELL("format", A2))="D")))))</formula1>
    </dataValidation>
    <dataValidation allowBlank="1" showDropDown="1" sqref="I2:I81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6.38"/>
    <col customWidth="1" min="3" max="3" width="20.63"/>
    <col customWidth="1" min="4" max="4" width="14.75"/>
    <col customWidth="1" min="5" max="5" width="6.0"/>
    <col customWidth="1" min="6" max="6" width="5.88"/>
    <col customWidth="1" min="7" max="7" width="14.5"/>
    <col customWidth="1" min="8" max="8" width="8.13"/>
    <col customWidth="1" min="9" max="9" width="14.75"/>
    <col customWidth="1" min="10" max="10" width="16.63"/>
    <col customWidth="1" min="13" max="13" width="22.0"/>
  </cols>
  <sheetData>
    <row r="1" ht="22.5" customHeight="1">
      <c r="A1" s="41" t="s">
        <v>0</v>
      </c>
      <c r="B1" s="41" t="s">
        <v>1</v>
      </c>
      <c r="C1" s="41" t="s">
        <v>2</v>
      </c>
      <c r="D1" s="41" t="s">
        <v>163</v>
      </c>
      <c r="E1" s="42" t="s">
        <v>4</v>
      </c>
      <c r="F1" s="42" t="s">
        <v>5</v>
      </c>
      <c r="G1" s="41" t="s">
        <v>6</v>
      </c>
      <c r="H1" s="43" t="s">
        <v>164</v>
      </c>
      <c r="I1" s="41" t="s">
        <v>8</v>
      </c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</row>
    <row r="2" ht="67.5" customHeight="1">
      <c r="A2" s="45">
        <v>1.0</v>
      </c>
      <c r="B2" s="46">
        <v>81.0</v>
      </c>
      <c r="C2" s="47" t="s">
        <v>165</v>
      </c>
      <c r="D2" s="47">
        <v>37.5</v>
      </c>
      <c r="E2" s="48"/>
      <c r="F2" s="47">
        <v>1.0</v>
      </c>
      <c r="G2" s="48"/>
      <c r="H2" s="48"/>
      <c r="I2" s="49">
        <v>7.9781467629E10</v>
      </c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</row>
    <row r="3" ht="67.5" customHeight="1">
      <c r="A3" s="45">
        <v>1.0</v>
      </c>
      <c r="B3" s="46">
        <v>82.0</v>
      </c>
      <c r="C3" s="47" t="s">
        <v>166</v>
      </c>
      <c r="D3" s="48"/>
      <c r="E3" s="48"/>
      <c r="F3" s="48"/>
      <c r="G3" s="47" t="s">
        <v>167</v>
      </c>
      <c r="H3" s="48"/>
      <c r="I3" s="49" t="s">
        <v>168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</row>
    <row r="4" ht="67.5" customHeight="1">
      <c r="A4" s="45">
        <v>1.0</v>
      </c>
      <c r="B4" s="47">
        <v>83.0</v>
      </c>
      <c r="C4" s="47" t="s">
        <v>169</v>
      </c>
      <c r="D4" s="48"/>
      <c r="E4" s="48"/>
      <c r="F4" s="48"/>
      <c r="G4" s="48"/>
      <c r="H4" s="48"/>
      <c r="I4" s="50">
        <f>79787493193</f>
        <v>79787493193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</row>
    <row r="5" ht="67.5" customHeight="1">
      <c r="A5" s="45">
        <v>1.0</v>
      </c>
      <c r="B5" s="47">
        <v>84.0</v>
      </c>
      <c r="C5" s="47" t="s">
        <v>170</v>
      </c>
      <c r="D5" s="48"/>
      <c r="E5" s="48"/>
      <c r="F5" s="47">
        <v>0.0</v>
      </c>
      <c r="G5" s="48"/>
      <c r="H5" s="48"/>
      <c r="I5" s="49" t="s">
        <v>171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</row>
    <row r="6" ht="67.5" customHeight="1">
      <c r="A6" s="45">
        <v>1.0</v>
      </c>
      <c r="B6" s="47">
        <v>85.0</v>
      </c>
      <c r="C6" s="47" t="s">
        <v>172</v>
      </c>
      <c r="D6" s="48"/>
      <c r="E6" s="48"/>
      <c r="F6" s="47">
        <v>0.0</v>
      </c>
      <c r="G6" s="48"/>
      <c r="H6" s="48"/>
      <c r="I6" s="50">
        <f>79787494192</f>
        <v>79787494192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</row>
    <row r="7" ht="67.5" customHeight="1">
      <c r="A7" s="45">
        <v>1.0</v>
      </c>
      <c r="B7" s="47">
        <v>86.0</v>
      </c>
      <c r="C7" s="47" t="s">
        <v>173</v>
      </c>
      <c r="D7" s="48"/>
      <c r="E7" s="48"/>
      <c r="F7" s="48"/>
      <c r="G7" s="48"/>
      <c r="H7" s="48"/>
      <c r="I7" s="51">
        <v>7.9104179111E10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</row>
    <row r="8" ht="67.5" customHeight="1">
      <c r="A8" s="45">
        <v>1.0</v>
      </c>
      <c r="B8" s="46">
        <v>87.0</v>
      </c>
      <c r="C8" s="47" t="s">
        <v>174</v>
      </c>
      <c r="D8" s="47">
        <v>38.4</v>
      </c>
      <c r="E8" s="48"/>
      <c r="F8" s="47">
        <v>1.0</v>
      </c>
      <c r="G8" s="48"/>
      <c r="H8" s="48"/>
      <c r="I8" s="49" t="s">
        <v>175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</row>
    <row r="9" ht="67.5" customHeight="1">
      <c r="A9" s="45">
        <v>1.0</v>
      </c>
      <c r="B9" s="47">
        <v>88.0</v>
      </c>
      <c r="C9" s="47" t="s">
        <v>176</v>
      </c>
      <c r="D9" s="48"/>
      <c r="E9" s="48"/>
      <c r="F9" s="48"/>
      <c r="G9" s="48"/>
      <c r="H9" s="48"/>
      <c r="I9" s="49" t="s">
        <v>177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</row>
    <row r="10" ht="67.5" customHeight="1">
      <c r="A10" s="45">
        <v>2.0</v>
      </c>
      <c r="B10" s="46">
        <v>89.0</v>
      </c>
      <c r="C10" s="47" t="s">
        <v>178</v>
      </c>
      <c r="D10" s="47"/>
      <c r="E10" s="48"/>
      <c r="F10" s="47">
        <v>0.0</v>
      </c>
      <c r="G10" s="48"/>
      <c r="H10" s="48"/>
      <c r="I10" s="49" t="s">
        <v>179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</row>
    <row r="11" ht="67.5" customHeight="1">
      <c r="A11" s="45">
        <v>2.0</v>
      </c>
      <c r="B11" s="46">
        <v>90.0</v>
      </c>
      <c r="C11" s="47" t="s">
        <v>180</v>
      </c>
      <c r="D11" s="47">
        <v>38.2</v>
      </c>
      <c r="E11" s="48"/>
      <c r="F11" s="47">
        <v>1.0</v>
      </c>
      <c r="G11" s="48"/>
      <c r="H11" s="48"/>
      <c r="I11" s="50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</row>
    <row r="12" ht="67.5" customHeight="1">
      <c r="A12" s="45">
        <v>2.0</v>
      </c>
      <c r="B12" s="47">
        <v>91.0</v>
      </c>
      <c r="C12" s="47" t="s">
        <v>181</v>
      </c>
      <c r="D12" s="48"/>
      <c r="E12" s="48"/>
      <c r="F12" s="47">
        <v>0.0</v>
      </c>
      <c r="G12" s="48"/>
      <c r="H12" s="48"/>
      <c r="I12" s="49" t="s">
        <v>182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</row>
    <row r="13" ht="67.5" customHeight="1">
      <c r="A13" s="45">
        <v>2.0</v>
      </c>
      <c r="B13" s="46">
        <v>92.0</v>
      </c>
      <c r="C13" s="47" t="s">
        <v>183</v>
      </c>
      <c r="D13" s="52">
        <v>57.9</v>
      </c>
      <c r="E13" s="48"/>
      <c r="F13" s="47">
        <v>1.0</v>
      </c>
      <c r="G13" s="48"/>
      <c r="H13" s="48"/>
      <c r="I13" s="50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</row>
    <row r="14" ht="67.5" customHeight="1">
      <c r="A14" s="45">
        <v>2.0</v>
      </c>
      <c r="B14" s="46">
        <v>93.0</v>
      </c>
      <c r="C14" s="47" t="s">
        <v>184</v>
      </c>
      <c r="D14" s="47">
        <v>58.0</v>
      </c>
      <c r="E14" s="48"/>
      <c r="F14" s="47">
        <v>1.0</v>
      </c>
      <c r="G14" s="47" t="s">
        <v>185</v>
      </c>
      <c r="H14" s="48"/>
      <c r="I14" s="49" t="s">
        <v>186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</row>
    <row r="15" ht="67.5" customHeight="1">
      <c r="A15" s="45">
        <v>2.0</v>
      </c>
      <c r="B15" s="47">
        <v>94.0</v>
      </c>
      <c r="C15" s="47" t="s">
        <v>187</v>
      </c>
      <c r="D15" s="48"/>
      <c r="E15" s="48"/>
      <c r="F15" s="47">
        <v>0.0</v>
      </c>
      <c r="G15" s="48"/>
      <c r="H15" s="48"/>
      <c r="I15" s="50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</row>
    <row r="16" ht="67.5" customHeight="1">
      <c r="A16" s="45">
        <v>2.0</v>
      </c>
      <c r="B16" s="46">
        <v>95.0</v>
      </c>
      <c r="C16" s="47" t="s">
        <v>188</v>
      </c>
      <c r="D16" s="47">
        <v>38.4</v>
      </c>
      <c r="E16" s="47">
        <v>1.0</v>
      </c>
      <c r="F16" s="47"/>
      <c r="G16" s="48"/>
      <c r="H16" s="48"/>
      <c r="I16" s="50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</row>
    <row r="17" ht="67.5" customHeight="1">
      <c r="A17" s="45">
        <v>2.0</v>
      </c>
      <c r="B17" s="47">
        <v>96.0</v>
      </c>
      <c r="C17" s="47" t="s">
        <v>189</v>
      </c>
      <c r="D17" s="48"/>
      <c r="E17" s="48"/>
      <c r="F17" s="48"/>
      <c r="G17" s="48"/>
      <c r="H17" s="48"/>
      <c r="I17" s="53" t="s">
        <v>190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</row>
    <row r="18" ht="67.5" customHeight="1">
      <c r="A18" s="45">
        <v>3.0</v>
      </c>
      <c r="B18" s="46">
        <v>97.0</v>
      </c>
      <c r="C18" s="47" t="s">
        <v>191</v>
      </c>
      <c r="D18" s="47">
        <v>36.8</v>
      </c>
      <c r="E18" s="48"/>
      <c r="F18" s="47">
        <v>1.0</v>
      </c>
      <c r="G18" s="48"/>
      <c r="H18" s="48"/>
      <c r="I18" s="49" t="s">
        <v>192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</row>
    <row r="19" ht="67.5" customHeight="1">
      <c r="A19" s="45">
        <v>3.0</v>
      </c>
      <c r="B19" s="47">
        <v>98.0</v>
      </c>
      <c r="C19" s="47" t="s">
        <v>193</v>
      </c>
      <c r="D19" s="48"/>
      <c r="E19" s="48"/>
      <c r="F19" s="47">
        <v>0.0</v>
      </c>
      <c r="G19" s="48"/>
      <c r="H19" s="48"/>
      <c r="I19" s="50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</row>
    <row r="20" ht="67.5" customHeight="1">
      <c r="A20" s="45">
        <v>3.0</v>
      </c>
      <c r="B20" s="47">
        <v>99.0</v>
      </c>
      <c r="C20" s="47" t="s">
        <v>194</v>
      </c>
      <c r="D20" s="48"/>
      <c r="E20" s="48"/>
      <c r="F20" s="48"/>
      <c r="G20" s="48"/>
      <c r="H20" s="48"/>
      <c r="I20" s="53" t="s">
        <v>195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</row>
    <row r="21" ht="67.5" customHeight="1">
      <c r="A21" s="45">
        <v>3.0</v>
      </c>
      <c r="B21" s="54">
        <v>100.0</v>
      </c>
      <c r="C21" s="47" t="s">
        <v>196</v>
      </c>
      <c r="D21" s="47">
        <v>56.1</v>
      </c>
      <c r="E21" s="48"/>
      <c r="F21" s="47">
        <v>1.0</v>
      </c>
      <c r="G21" s="47" t="s">
        <v>197</v>
      </c>
      <c r="H21" s="48"/>
      <c r="I21" s="55" t="s">
        <v>198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</row>
    <row r="22" ht="67.5" customHeight="1">
      <c r="A22" s="45">
        <v>3.0</v>
      </c>
      <c r="B22" s="46">
        <v>101.0</v>
      </c>
      <c r="C22" s="47" t="s">
        <v>199</v>
      </c>
      <c r="D22" s="47">
        <v>55.9</v>
      </c>
      <c r="E22" s="48"/>
      <c r="F22" s="47">
        <v>1.0</v>
      </c>
      <c r="G22" s="48"/>
      <c r="H22" s="48"/>
      <c r="I22" s="49" t="s">
        <v>200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</row>
    <row r="23" ht="67.5" customHeight="1">
      <c r="A23" s="45">
        <v>3.0</v>
      </c>
      <c r="B23" s="46">
        <v>102.0</v>
      </c>
      <c r="C23" s="47" t="s">
        <v>201</v>
      </c>
      <c r="D23" s="47">
        <v>36.0</v>
      </c>
      <c r="E23" s="48"/>
      <c r="F23" s="47">
        <v>1.0</v>
      </c>
      <c r="G23" s="48"/>
      <c r="H23" s="48"/>
      <c r="I23" s="50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</row>
    <row r="24" ht="67.5" customHeight="1">
      <c r="A24" s="45">
        <v>3.0</v>
      </c>
      <c r="B24" s="47">
        <v>103.0</v>
      </c>
      <c r="C24" s="47" t="s">
        <v>202</v>
      </c>
      <c r="D24" s="48"/>
      <c r="E24" s="48"/>
      <c r="F24" s="48"/>
      <c r="G24" s="48"/>
      <c r="H24" s="48"/>
      <c r="I24" s="49" t="s">
        <v>203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</row>
    <row r="25" ht="67.5" customHeight="1">
      <c r="A25" s="45">
        <v>3.0</v>
      </c>
      <c r="B25" s="46">
        <v>104.0</v>
      </c>
      <c r="C25" s="47" t="s">
        <v>204</v>
      </c>
      <c r="D25" s="47">
        <v>39.7</v>
      </c>
      <c r="E25" s="48"/>
      <c r="F25" s="47">
        <v>1.0</v>
      </c>
      <c r="G25" s="48"/>
      <c r="H25" s="48"/>
      <c r="I25" s="50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</row>
    <row r="26" ht="67.5" customHeight="1">
      <c r="A26" s="45">
        <v>4.0</v>
      </c>
      <c r="B26" s="47">
        <v>105.0</v>
      </c>
      <c r="C26" s="47" t="s">
        <v>205</v>
      </c>
      <c r="D26" s="47">
        <v>37.2</v>
      </c>
      <c r="E26" s="48"/>
      <c r="F26" s="47">
        <v>1.0</v>
      </c>
      <c r="G26" s="48"/>
      <c r="H26" s="48"/>
      <c r="I26" s="49" t="s">
        <v>206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</row>
    <row r="27" ht="67.5" customHeight="1">
      <c r="A27" s="45">
        <v>4.0</v>
      </c>
      <c r="B27" s="47">
        <v>106.0</v>
      </c>
      <c r="C27" s="47" t="s">
        <v>207</v>
      </c>
      <c r="D27" s="48"/>
      <c r="E27" s="48"/>
      <c r="F27" s="47">
        <v>0.0</v>
      </c>
      <c r="G27" s="48"/>
      <c r="H27" s="48"/>
      <c r="I27" s="50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</row>
    <row r="28" ht="67.5" customHeight="1">
      <c r="A28" s="45">
        <v>4.0</v>
      </c>
      <c r="B28" s="46">
        <v>107.0</v>
      </c>
      <c r="C28" s="47" t="s">
        <v>208</v>
      </c>
      <c r="D28" s="47">
        <v>53.7</v>
      </c>
      <c r="E28" s="48"/>
      <c r="F28" s="47">
        <v>1.0</v>
      </c>
      <c r="G28" s="48"/>
      <c r="H28" s="48"/>
      <c r="I28" s="50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</row>
    <row r="29" ht="67.5" customHeight="1">
      <c r="A29" s="45">
        <v>4.0</v>
      </c>
      <c r="B29" s="46">
        <v>108.0</v>
      </c>
      <c r="C29" s="47" t="s">
        <v>209</v>
      </c>
      <c r="D29" s="47">
        <v>55.6</v>
      </c>
      <c r="E29" s="48"/>
      <c r="F29" s="47">
        <v>1.0</v>
      </c>
      <c r="G29" s="48"/>
      <c r="H29" s="48"/>
      <c r="I29" s="49" t="s">
        <v>210</v>
      </c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</row>
    <row r="30" ht="67.5" customHeight="1">
      <c r="A30" s="45">
        <v>4.0</v>
      </c>
      <c r="B30" s="46">
        <v>109.0</v>
      </c>
      <c r="C30" s="47" t="s">
        <v>211</v>
      </c>
      <c r="D30" s="47">
        <v>55.7</v>
      </c>
      <c r="E30" s="48"/>
      <c r="F30" s="47">
        <v>1.0</v>
      </c>
      <c r="G30" s="48"/>
      <c r="H30" s="48"/>
      <c r="I30" s="49" t="s">
        <v>212</v>
      </c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</row>
    <row r="31" ht="67.5" customHeight="1">
      <c r="A31" s="45">
        <v>4.0</v>
      </c>
      <c r="B31" s="47">
        <v>110.0</v>
      </c>
      <c r="C31" s="47" t="s">
        <v>213</v>
      </c>
      <c r="D31" s="48"/>
      <c r="E31" s="48"/>
      <c r="F31" s="47">
        <v>0.0</v>
      </c>
      <c r="G31" s="48"/>
      <c r="H31" s="48"/>
      <c r="I31" s="49" t="s">
        <v>214</v>
      </c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</row>
    <row r="32" ht="67.5" customHeight="1">
      <c r="A32" s="45">
        <v>4.0</v>
      </c>
      <c r="B32" s="46">
        <v>111.0</v>
      </c>
      <c r="C32" s="47" t="s">
        <v>215</v>
      </c>
      <c r="D32" s="47">
        <v>38.0</v>
      </c>
      <c r="E32" s="48"/>
      <c r="F32" s="47">
        <v>1.0</v>
      </c>
      <c r="G32" s="48"/>
      <c r="H32" s="48"/>
      <c r="I32" s="49" t="s">
        <v>216</v>
      </c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</row>
    <row r="33" ht="67.5" customHeight="1">
      <c r="A33" s="45">
        <v>4.0</v>
      </c>
      <c r="B33" s="46">
        <v>112.0</v>
      </c>
      <c r="C33" s="47" t="s">
        <v>217</v>
      </c>
      <c r="D33" s="47">
        <v>39.8</v>
      </c>
      <c r="E33" s="48"/>
      <c r="F33" s="47">
        <v>1.0</v>
      </c>
      <c r="G33" s="48"/>
      <c r="H33" s="48"/>
      <c r="I33" s="50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</row>
    <row r="34" ht="67.5" customHeight="1">
      <c r="A34" s="45">
        <v>5.0</v>
      </c>
      <c r="B34" s="47">
        <v>113.0</v>
      </c>
      <c r="C34" s="47" t="s">
        <v>218</v>
      </c>
      <c r="D34" s="48"/>
      <c r="E34" s="48"/>
      <c r="F34" s="48"/>
      <c r="G34" s="48"/>
      <c r="H34" s="48"/>
      <c r="I34" s="53" t="s">
        <v>219</v>
      </c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</row>
    <row r="35" ht="67.5" customHeight="1">
      <c r="A35" s="45">
        <v>5.0</v>
      </c>
      <c r="B35" s="47">
        <v>114.0</v>
      </c>
      <c r="C35" s="47" t="s">
        <v>220</v>
      </c>
      <c r="D35" s="48"/>
      <c r="E35" s="48"/>
      <c r="F35" s="48"/>
      <c r="G35" s="9" t="s">
        <v>221</v>
      </c>
      <c r="H35" s="48"/>
      <c r="I35" s="49" t="s">
        <v>222</v>
      </c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</row>
    <row r="36" ht="67.5" customHeight="1">
      <c r="A36" s="45">
        <v>5.0</v>
      </c>
      <c r="B36" s="46">
        <v>115.0</v>
      </c>
      <c r="C36" s="47" t="s">
        <v>223</v>
      </c>
      <c r="D36" s="47">
        <v>55.1</v>
      </c>
      <c r="E36" s="48"/>
      <c r="F36" s="47">
        <v>1.0</v>
      </c>
      <c r="G36" s="48"/>
      <c r="H36" s="48"/>
      <c r="I36" s="50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</row>
    <row r="37" ht="67.5" customHeight="1">
      <c r="A37" s="45">
        <v>5.0</v>
      </c>
      <c r="B37" s="46">
        <v>116.0</v>
      </c>
      <c r="C37" s="47" t="s">
        <v>224</v>
      </c>
      <c r="D37" s="47">
        <v>55.8</v>
      </c>
      <c r="E37" s="48"/>
      <c r="F37" s="47">
        <v>1.0</v>
      </c>
      <c r="G37" s="47" t="s">
        <v>225</v>
      </c>
      <c r="H37" s="48"/>
      <c r="I37" s="49" t="s">
        <v>226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</row>
    <row r="38" ht="67.5" customHeight="1">
      <c r="A38" s="45">
        <v>5.0</v>
      </c>
      <c r="B38" s="47">
        <v>117.0</v>
      </c>
      <c r="C38" s="47" t="s">
        <v>227</v>
      </c>
      <c r="D38" s="48"/>
      <c r="E38" s="48"/>
      <c r="F38" s="48"/>
      <c r="G38" s="48"/>
      <c r="H38" s="48"/>
      <c r="I38" s="56" t="s">
        <v>228</v>
      </c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</row>
    <row r="39" ht="67.5" customHeight="1">
      <c r="A39" s="45">
        <v>5.0</v>
      </c>
      <c r="B39" s="46">
        <v>118.0</v>
      </c>
      <c r="C39" s="47" t="s">
        <v>229</v>
      </c>
      <c r="D39" s="47">
        <v>36.1</v>
      </c>
      <c r="E39" s="47">
        <v>1.0</v>
      </c>
      <c r="F39" s="48"/>
      <c r="G39" s="48"/>
      <c r="H39" s="48"/>
      <c r="I39" s="56" t="s">
        <v>230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</row>
    <row r="40" ht="67.5" customHeight="1">
      <c r="A40" s="45">
        <v>5.0</v>
      </c>
      <c r="B40" s="47">
        <v>119.0</v>
      </c>
      <c r="C40" s="47" t="s">
        <v>231</v>
      </c>
      <c r="D40" s="48"/>
      <c r="E40" s="48"/>
      <c r="F40" s="48"/>
      <c r="G40" s="48"/>
      <c r="H40" s="48"/>
      <c r="I40" s="57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</row>
    <row r="41" ht="67.5" customHeight="1">
      <c r="A41" s="45">
        <v>5.0</v>
      </c>
      <c r="B41" s="47">
        <v>120.0</v>
      </c>
      <c r="C41" s="47" t="s">
        <v>232</v>
      </c>
      <c r="D41" s="48"/>
      <c r="E41" s="48"/>
      <c r="F41" s="48"/>
      <c r="G41" s="48"/>
      <c r="H41" s="48"/>
      <c r="I41" s="58" t="s">
        <v>233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</row>
    <row r="42" ht="67.5" customHeight="1">
      <c r="A42" s="45">
        <v>6.0</v>
      </c>
      <c r="B42" s="59">
        <v>121.0</v>
      </c>
      <c r="C42" s="47" t="s">
        <v>234</v>
      </c>
      <c r="D42" s="47">
        <v>37.1</v>
      </c>
      <c r="E42" s="48"/>
      <c r="F42" s="47">
        <v>1.0</v>
      </c>
      <c r="G42" s="48"/>
      <c r="H42" s="48"/>
      <c r="I42" s="57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</row>
    <row r="43" ht="67.5" customHeight="1">
      <c r="A43" s="45">
        <v>6.0</v>
      </c>
      <c r="B43" s="46">
        <v>122.0</v>
      </c>
      <c r="C43" s="47" t="s">
        <v>235</v>
      </c>
      <c r="D43" s="47">
        <v>38.5</v>
      </c>
      <c r="E43" s="47">
        <v>1.0</v>
      </c>
      <c r="F43" s="48"/>
      <c r="G43" s="48"/>
      <c r="H43" s="48"/>
      <c r="I43" s="58" t="s">
        <v>236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</row>
    <row r="44" ht="67.5" customHeight="1">
      <c r="A44" s="45">
        <v>6.0</v>
      </c>
      <c r="B44" s="46">
        <v>123.0</v>
      </c>
      <c r="C44" s="47" t="s">
        <v>237</v>
      </c>
      <c r="D44" s="47">
        <v>53.1</v>
      </c>
      <c r="E44" s="48"/>
      <c r="F44" s="47">
        <v>1.0</v>
      </c>
      <c r="G44" s="48"/>
      <c r="H44" s="48"/>
      <c r="I44" s="57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</row>
    <row r="45" ht="67.5" customHeight="1">
      <c r="A45" s="45">
        <v>6.0</v>
      </c>
      <c r="B45" s="47">
        <v>124.0</v>
      </c>
      <c r="C45" s="47" t="s">
        <v>238</v>
      </c>
      <c r="D45" s="48"/>
      <c r="E45" s="48"/>
      <c r="F45" s="47">
        <v>0.0</v>
      </c>
      <c r="G45" s="48"/>
      <c r="H45" s="48"/>
      <c r="I45" s="57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</row>
    <row r="46" ht="67.5" customHeight="1">
      <c r="A46" s="45">
        <v>6.0</v>
      </c>
      <c r="B46" s="47">
        <v>125.0</v>
      </c>
      <c r="C46" s="47" t="s">
        <v>239</v>
      </c>
      <c r="D46" s="47"/>
      <c r="E46" s="48"/>
      <c r="F46" s="47"/>
      <c r="G46" s="48"/>
      <c r="H46" s="48"/>
      <c r="I46" s="57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</row>
    <row r="47" ht="67.5" customHeight="1">
      <c r="A47" s="45">
        <v>6.0</v>
      </c>
      <c r="B47" s="46">
        <v>126.0</v>
      </c>
      <c r="C47" s="47" t="s">
        <v>240</v>
      </c>
      <c r="D47" s="47">
        <v>36.0</v>
      </c>
      <c r="E47" s="48"/>
      <c r="F47" s="47">
        <v>1.0</v>
      </c>
      <c r="G47" s="48"/>
      <c r="H47" s="48"/>
      <c r="I47" s="58" t="s">
        <v>241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67.5" customHeight="1">
      <c r="A48" s="45">
        <v>6.0</v>
      </c>
      <c r="B48" s="59">
        <v>127.0</v>
      </c>
      <c r="C48" s="47" t="s">
        <v>242</v>
      </c>
      <c r="D48" s="47">
        <v>38.2</v>
      </c>
      <c r="E48" s="48"/>
      <c r="F48" s="47">
        <v>1.0</v>
      </c>
      <c r="G48" s="48"/>
      <c r="H48" s="48"/>
      <c r="I48" s="58">
        <v>7.9787959757E10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67.5" customHeight="1">
      <c r="A49" s="45">
        <v>6.0</v>
      </c>
      <c r="B49" s="47">
        <v>128.0</v>
      </c>
      <c r="C49" s="47" t="s">
        <v>243</v>
      </c>
      <c r="D49" s="48"/>
      <c r="E49" s="48"/>
      <c r="F49" s="48"/>
      <c r="G49" s="48"/>
      <c r="H49" s="48"/>
      <c r="I49" s="57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67.5" customHeight="1">
      <c r="A50" s="45">
        <v>7.0</v>
      </c>
      <c r="B50" s="46">
        <v>129.0</v>
      </c>
      <c r="C50" s="47" t="s">
        <v>244</v>
      </c>
      <c r="D50" s="47">
        <v>36.9</v>
      </c>
      <c r="E50" s="48"/>
      <c r="F50" s="47">
        <v>1.0</v>
      </c>
      <c r="G50" s="47" t="s">
        <v>245</v>
      </c>
      <c r="H50" s="48"/>
      <c r="I50" s="57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ht="67.5" customHeight="1">
      <c r="A51" s="45">
        <v>7.0</v>
      </c>
      <c r="B51" s="59">
        <v>130.0</v>
      </c>
      <c r="C51" s="47" t="s">
        <v>246</v>
      </c>
      <c r="D51" s="47">
        <v>37.9</v>
      </c>
      <c r="E51" s="48"/>
      <c r="F51" s="47">
        <v>1.0</v>
      </c>
      <c r="G51" s="48"/>
      <c r="H51" s="48"/>
      <c r="I51" s="60">
        <v>7.9780199016E10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</row>
    <row r="52" ht="67.5" customHeight="1">
      <c r="A52" s="45">
        <v>7.0</v>
      </c>
      <c r="B52" s="47">
        <v>131.0</v>
      </c>
      <c r="C52" s="47" t="s">
        <v>247</v>
      </c>
      <c r="D52" s="48"/>
      <c r="E52" s="48"/>
      <c r="F52" s="48"/>
      <c r="G52" s="48"/>
      <c r="H52" s="48"/>
      <c r="I52" s="50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</row>
    <row r="53" ht="67.5" customHeight="1">
      <c r="A53" s="45">
        <v>7.0</v>
      </c>
      <c r="B53" s="61">
        <v>132.0</v>
      </c>
      <c r="C53" s="47" t="s">
        <v>248</v>
      </c>
      <c r="D53" s="47">
        <v>55.9</v>
      </c>
      <c r="E53" s="47">
        <v>1.0</v>
      </c>
      <c r="F53" s="47">
        <v>0.0</v>
      </c>
      <c r="G53" s="48"/>
      <c r="H53" s="48"/>
      <c r="I53" s="62" t="s">
        <v>249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</row>
    <row r="54" ht="67.5" customHeight="1">
      <c r="A54" s="45">
        <v>7.0</v>
      </c>
      <c r="B54" s="46">
        <v>133.0</v>
      </c>
      <c r="C54" s="47" t="s">
        <v>250</v>
      </c>
      <c r="D54" s="47">
        <v>55.5</v>
      </c>
      <c r="E54" s="48"/>
      <c r="F54" s="47">
        <v>1.0</v>
      </c>
      <c r="G54" s="48"/>
      <c r="H54" s="48"/>
      <c r="I54" s="50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</row>
    <row r="55" ht="67.5" customHeight="1">
      <c r="A55" s="45">
        <v>7.0</v>
      </c>
      <c r="B55" s="46">
        <v>134.0</v>
      </c>
      <c r="C55" s="47" t="s">
        <v>251</v>
      </c>
      <c r="D55" s="47">
        <v>35.7</v>
      </c>
      <c r="E55" s="47">
        <v>1.0</v>
      </c>
      <c r="F55" s="48"/>
      <c r="G55" s="48"/>
      <c r="H55" s="48"/>
      <c r="I55" s="50">
        <f>79788375942</f>
        <v>79788375942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</row>
    <row r="56" ht="67.5" customHeight="1">
      <c r="A56" s="45">
        <v>7.0</v>
      </c>
      <c r="B56" s="47">
        <v>135.0</v>
      </c>
      <c r="C56" s="47" t="s">
        <v>252</v>
      </c>
      <c r="D56" s="48"/>
      <c r="E56" s="48"/>
      <c r="F56" s="47">
        <v>0.0</v>
      </c>
      <c r="G56" s="48"/>
      <c r="H56" s="48"/>
      <c r="I56" s="49" t="s">
        <v>253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</row>
    <row r="57" ht="67.5" customHeight="1">
      <c r="A57" s="45">
        <v>7.0</v>
      </c>
      <c r="B57" s="46">
        <v>136.0</v>
      </c>
      <c r="C57" s="47" t="s">
        <v>254</v>
      </c>
      <c r="D57" s="47">
        <v>39.8</v>
      </c>
      <c r="E57" s="48"/>
      <c r="F57" s="47">
        <v>1.0</v>
      </c>
      <c r="G57" s="48"/>
      <c r="H57" s="48"/>
      <c r="I57" s="62" t="s">
        <v>255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</row>
    <row r="58" ht="67.5" customHeight="1">
      <c r="A58" s="45">
        <v>8.0</v>
      </c>
      <c r="B58" s="47">
        <v>137.0</v>
      </c>
      <c r="C58" s="47" t="s">
        <v>256</v>
      </c>
      <c r="D58" s="48"/>
      <c r="E58" s="48"/>
      <c r="F58" s="47">
        <v>0.0</v>
      </c>
      <c r="G58" s="48"/>
      <c r="H58" s="48"/>
      <c r="I58" s="50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</row>
    <row r="59" ht="67.5" customHeight="1">
      <c r="A59" s="45">
        <v>8.0</v>
      </c>
      <c r="B59" s="46">
        <v>138.0</v>
      </c>
      <c r="C59" s="47" t="s">
        <v>257</v>
      </c>
      <c r="D59" s="47">
        <v>38.3</v>
      </c>
      <c r="E59" s="47">
        <v>1.0</v>
      </c>
      <c r="F59" s="48"/>
      <c r="G59" s="48"/>
      <c r="H59" s="48"/>
      <c r="I59" s="62" t="s">
        <v>258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</row>
    <row r="60" ht="67.5" customHeight="1">
      <c r="A60" s="45">
        <v>8.0</v>
      </c>
      <c r="B60" s="54">
        <v>139.0</v>
      </c>
      <c r="C60" s="47" t="s">
        <v>259</v>
      </c>
      <c r="D60" s="47">
        <v>52.6</v>
      </c>
      <c r="E60" s="48"/>
      <c r="F60" s="47">
        <v>1.0</v>
      </c>
      <c r="G60" s="47" t="s">
        <v>260</v>
      </c>
      <c r="H60" s="48"/>
      <c r="I60" s="50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</row>
    <row r="61" ht="67.5" customHeight="1">
      <c r="A61" s="45">
        <v>8.0</v>
      </c>
      <c r="B61" s="47">
        <v>140.0</v>
      </c>
      <c r="C61" s="47" t="s">
        <v>261</v>
      </c>
      <c r="D61" s="48"/>
      <c r="E61" s="48"/>
      <c r="F61" s="48"/>
      <c r="G61" s="48"/>
      <c r="H61" s="48"/>
      <c r="I61" s="49">
        <v>7.978804266E10</v>
      </c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</row>
    <row r="62" ht="67.5" customHeight="1">
      <c r="A62" s="45">
        <v>8.0</v>
      </c>
      <c r="B62" s="46">
        <v>141.0</v>
      </c>
      <c r="C62" s="47" t="s">
        <v>262</v>
      </c>
      <c r="D62" s="47">
        <v>55.4</v>
      </c>
      <c r="E62" s="47">
        <v>1.0</v>
      </c>
      <c r="F62" s="48"/>
      <c r="G62" s="47"/>
      <c r="H62" s="48"/>
      <c r="I62" s="49" t="s">
        <v>263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</row>
    <row r="63" ht="67.5" customHeight="1">
      <c r="A63" s="45">
        <v>8.0</v>
      </c>
      <c r="B63" s="47">
        <v>142.0</v>
      </c>
      <c r="C63" s="47" t="s">
        <v>264</v>
      </c>
      <c r="D63" s="48"/>
      <c r="E63" s="48"/>
      <c r="F63" s="47">
        <v>0.0</v>
      </c>
      <c r="G63" s="48"/>
      <c r="H63" s="48"/>
      <c r="I63" s="49" t="s">
        <v>265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</row>
    <row r="64" ht="67.5" customHeight="1">
      <c r="A64" s="45">
        <v>8.0</v>
      </c>
      <c r="B64" s="46">
        <v>143.0</v>
      </c>
      <c r="C64" s="47" t="s">
        <v>266</v>
      </c>
      <c r="D64" s="47">
        <v>37.9</v>
      </c>
      <c r="E64" s="48"/>
      <c r="F64" s="47">
        <v>1.0</v>
      </c>
      <c r="G64" s="48"/>
      <c r="H64" s="48"/>
      <c r="I64" s="49" t="s">
        <v>267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</row>
    <row r="65" ht="67.5" customHeight="1">
      <c r="A65" s="45">
        <v>8.0</v>
      </c>
      <c r="B65" s="46">
        <v>144.0</v>
      </c>
      <c r="C65" s="47" t="s">
        <v>268</v>
      </c>
      <c r="D65" s="47">
        <v>39.9</v>
      </c>
      <c r="E65" s="48"/>
      <c r="F65" s="47">
        <v>1.0</v>
      </c>
      <c r="G65" s="48"/>
      <c r="H65" s="48"/>
      <c r="I65" s="63">
        <f>+79787409068</f>
        <v>79787409068</v>
      </c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</row>
    <row r="66" ht="67.5" customHeight="1">
      <c r="A66" s="45">
        <v>9.0</v>
      </c>
      <c r="B66" s="46">
        <v>145.0</v>
      </c>
      <c r="C66" s="47" t="s">
        <v>269</v>
      </c>
      <c r="D66" s="47">
        <v>36.8</v>
      </c>
      <c r="E66" s="47">
        <v>1.0</v>
      </c>
      <c r="F66" s="48"/>
      <c r="G66" s="48"/>
      <c r="H66" s="48"/>
      <c r="I66" s="51" t="s">
        <v>270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</row>
    <row r="67" ht="67.5" customHeight="1">
      <c r="A67" s="45">
        <v>9.0</v>
      </c>
      <c r="B67" s="47">
        <v>146.0</v>
      </c>
      <c r="C67" s="47" t="s">
        <v>271</v>
      </c>
      <c r="D67" s="48"/>
      <c r="E67" s="48"/>
      <c r="F67" s="48"/>
      <c r="G67" s="48"/>
      <c r="H67" s="48"/>
      <c r="I67" s="53">
        <v>7.9090110265E10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</row>
    <row r="68" ht="67.5" customHeight="1">
      <c r="A68" s="45">
        <v>9.0</v>
      </c>
      <c r="B68" s="46">
        <v>147.0</v>
      </c>
      <c r="C68" s="47" t="s">
        <v>272</v>
      </c>
      <c r="D68" s="47">
        <v>52.9</v>
      </c>
      <c r="E68" s="47">
        <v>1.0</v>
      </c>
      <c r="F68" s="48"/>
      <c r="G68" s="47"/>
      <c r="H68" s="48"/>
      <c r="I68" s="50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</row>
    <row r="69" ht="67.5" customHeight="1">
      <c r="A69" s="45">
        <v>9.0</v>
      </c>
      <c r="B69" s="47">
        <v>148.0</v>
      </c>
      <c r="C69" s="47" t="s">
        <v>273</v>
      </c>
      <c r="D69" s="48"/>
      <c r="E69" s="48"/>
      <c r="F69" s="47">
        <v>0.0</v>
      </c>
      <c r="G69" s="48"/>
      <c r="H69" s="48"/>
      <c r="I69" s="50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</row>
    <row r="70" ht="67.5" customHeight="1">
      <c r="A70" s="45">
        <v>9.0</v>
      </c>
      <c r="B70" s="46">
        <v>149.0</v>
      </c>
      <c r="C70" s="47" t="s">
        <v>274</v>
      </c>
      <c r="D70" s="47">
        <v>55.5</v>
      </c>
      <c r="E70" s="48"/>
      <c r="F70" s="47">
        <v>1.0</v>
      </c>
      <c r="G70" s="48"/>
      <c r="H70" s="48"/>
      <c r="I70" s="50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</row>
    <row r="71" ht="67.5" customHeight="1">
      <c r="A71" s="45">
        <v>9.0</v>
      </c>
      <c r="B71" s="46">
        <v>150.0</v>
      </c>
      <c r="C71" s="47" t="s">
        <v>275</v>
      </c>
      <c r="D71" s="47">
        <v>35.8</v>
      </c>
      <c r="E71" s="48"/>
      <c r="F71" s="47">
        <v>1.0</v>
      </c>
      <c r="G71" s="48"/>
      <c r="H71" s="48"/>
      <c r="I71" s="49" t="s">
        <v>276</v>
      </c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</row>
    <row r="72" ht="67.5" customHeight="1">
      <c r="A72" s="45">
        <v>9.0</v>
      </c>
      <c r="B72" s="46">
        <v>151.0</v>
      </c>
      <c r="C72" s="47" t="s">
        <v>277</v>
      </c>
      <c r="D72" s="47">
        <v>37.7</v>
      </c>
      <c r="E72" s="48"/>
      <c r="F72" s="47">
        <v>1.0</v>
      </c>
      <c r="G72" s="47" t="s">
        <v>278</v>
      </c>
      <c r="H72" s="48"/>
      <c r="I72" s="53">
        <v>7.9788317842E10</v>
      </c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</row>
    <row r="73" ht="67.5" customHeight="1">
      <c r="A73" s="45">
        <v>9.0</v>
      </c>
      <c r="B73" s="46">
        <v>152.0</v>
      </c>
      <c r="C73" s="47" t="s">
        <v>279</v>
      </c>
      <c r="D73" s="47">
        <v>39.9</v>
      </c>
      <c r="E73" s="48"/>
      <c r="F73" s="47">
        <v>1.0</v>
      </c>
      <c r="G73" s="48"/>
      <c r="H73" s="48"/>
      <c r="I73" s="6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</row>
    <row r="74" ht="67.5" customHeight="1">
      <c r="A74" s="45">
        <v>10.0</v>
      </c>
      <c r="B74" s="46">
        <v>153.0</v>
      </c>
      <c r="C74" s="47" t="s">
        <v>280</v>
      </c>
      <c r="D74" s="47">
        <v>36.7</v>
      </c>
      <c r="E74" s="47">
        <v>1.0</v>
      </c>
      <c r="F74" s="48"/>
      <c r="G74" s="48"/>
      <c r="H74" s="48"/>
      <c r="I74" s="49" t="s">
        <v>281</v>
      </c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</row>
    <row r="75" ht="67.5" customHeight="1">
      <c r="A75" s="45">
        <v>10.0</v>
      </c>
      <c r="B75" s="47">
        <v>154.0</v>
      </c>
      <c r="C75" s="47" t="s">
        <v>282</v>
      </c>
      <c r="D75" s="48"/>
      <c r="E75" s="48"/>
      <c r="F75" s="47">
        <v>0.0</v>
      </c>
      <c r="G75" s="48"/>
      <c r="H75" s="48"/>
      <c r="I75" s="50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</row>
    <row r="76" ht="67.5" customHeight="1">
      <c r="A76" s="45">
        <v>10.0</v>
      </c>
      <c r="B76" s="47">
        <v>155.0</v>
      </c>
      <c r="C76" s="47" t="s">
        <v>283</v>
      </c>
      <c r="D76" s="48"/>
      <c r="E76" s="48"/>
      <c r="F76" s="48"/>
      <c r="G76" s="48"/>
      <c r="H76" s="48"/>
      <c r="I76" s="50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</row>
    <row r="77" ht="67.5" customHeight="1">
      <c r="A77" s="45">
        <v>10.0</v>
      </c>
      <c r="B77" s="46">
        <v>156.0</v>
      </c>
      <c r="C77" s="47" t="s">
        <v>284</v>
      </c>
      <c r="D77" s="47">
        <v>55.5</v>
      </c>
      <c r="E77" s="48"/>
      <c r="F77" s="47">
        <v>1.0</v>
      </c>
      <c r="G77" s="48"/>
      <c r="H77" s="48"/>
      <c r="I77" s="50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</row>
    <row r="78" ht="67.5" customHeight="1">
      <c r="A78" s="45">
        <v>10.0</v>
      </c>
      <c r="B78" s="46">
        <v>157.0</v>
      </c>
      <c r="C78" s="47" t="s">
        <v>285</v>
      </c>
      <c r="D78" s="47">
        <v>55.4</v>
      </c>
      <c r="E78" s="48"/>
      <c r="F78" s="47">
        <v>1.0</v>
      </c>
      <c r="G78" s="48"/>
      <c r="H78" s="48"/>
      <c r="I78" s="49" t="s">
        <v>286</v>
      </c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</row>
    <row r="79" ht="67.5" customHeight="1">
      <c r="A79" s="45">
        <v>10.0</v>
      </c>
      <c r="B79" s="46">
        <v>158.0</v>
      </c>
      <c r="C79" s="47" t="s">
        <v>287</v>
      </c>
      <c r="D79" s="47">
        <v>35.6</v>
      </c>
      <c r="E79" s="48"/>
      <c r="F79" s="47">
        <v>1.0</v>
      </c>
      <c r="G79" s="48"/>
      <c r="H79" s="48"/>
      <c r="I79" s="49" t="s">
        <v>288</v>
      </c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</row>
    <row r="80" ht="67.5" customHeight="1">
      <c r="A80" s="45">
        <v>10.0</v>
      </c>
      <c r="B80" s="46">
        <v>159.0</v>
      </c>
      <c r="C80" s="47" t="s">
        <v>289</v>
      </c>
      <c r="D80" s="47">
        <v>37.6</v>
      </c>
      <c r="E80" s="48"/>
      <c r="F80" s="47">
        <v>1.0</v>
      </c>
      <c r="G80" s="48"/>
      <c r="H80" s="48"/>
      <c r="I80" s="49" t="s">
        <v>290</v>
      </c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</row>
    <row r="81" ht="67.5" customHeight="1">
      <c r="A81" s="45">
        <v>10.0</v>
      </c>
      <c r="B81" s="46">
        <v>160.0</v>
      </c>
      <c r="C81" s="47" t="s">
        <v>291</v>
      </c>
      <c r="D81" s="47">
        <v>39.9</v>
      </c>
      <c r="E81" s="47">
        <v>1.0</v>
      </c>
      <c r="F81" s="48"/>
      <c r="G81" s="48"/>
      <c r="H81" s="48"/>
      <c r="I81" s="53">
        <v>7.9115530321E10</v>
      </c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</row>
    <row r="82" ht="22.5" customHeight="1">
      <c r="A82" s="65"/>
      <c r="B82" s="65"/>
      <c r="C82" s="48"/>
      <c r="D82" s="48">
        <f>SUM(Подъезд2[Квадратура])</f>
        <v>2127.9</v>
      </c>
      <c r="E82" s="65">
        <f>SUM(Подъезд2[Электронно])</f>
        <v>11</v>
      </c>
      <c r="F82" s="48">
        <f>SUM(F2:F81)</f>
        <v>37</v>
      </c>
      <c r="G82" s="48"/>
      <c r="H82" s="48"/>
      <c r="I82" s="48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44"/>
      <c r="AB993" s="44"/>
      <c r="AC993" s="44"/>
      <c r="AD993" s="44"/>
      <c r="AE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44"/>
      <c r="AB994" s="44"/>
      <c r="AC994" s="44"/>
      <c r="AD994" s="44"/>
      <c r="AE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44"/>
      <c r="AB995" s="44"/>
      <c r="AC995" s="44"/>
      <c r="AD995" s="44"/>
      <c r="AE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44"/>
      <c r="AB996" s="44"/>
      <c r="AC996" s="44"/>
      <c r="AD996" s="44"/>
      <c r="AE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44"/>
      <c r="AB997" s="44"/>
      <c r="AC997" s="44"/>
      <c r="AD997" s="44"/>
      <c r="AE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44"/>
      <c r="AB998" s="44"/>
      <c r="AC998" s="44"/>
      <c r="AD998" s="44"/>
      <c r="AE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44"/>
      <c r="AB999" s="44"/>
      <c r="AC999" s="44"/>
      <c r="AD999" s="44"/>
      <c r="AE999" s="44"/>
    </row>
    <row r="1000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44"/>
      <c r="AB1000" s="44"/>
      <c r="AC1000" s="44"/>
      <c r="AD1000" s="44"/>
      <c r="AE1000" s="44"/>
    </row>
  </sheetData>
  <conditionalFormatting sqref="E2:F81">
    <cfRule type="cellIs" dxfId="6" priority="1" operator="greaterThanOrEqual">
      <formula>1</formula>
    </cfRule>
  </conditionalFormatting>
  <conditionalFormatting sqref="D2:D81 G2:G81">
    <cfRule type="cellIs" dxfId="6" priority="2" operator="greaterThan">
      <formula>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7.38"/>
    <col customWidth="1" min="3" max="3" width="20.5"/>
    <col customWidth="1" min="4" max="4" width="9.25"/>
    <col customWidth="1" min="5" max="5" width="8.75"/>
    <col customWidth="1" min="6" max="6" width="7.25"/>
    <col customWidth="1" min="7" max="7" width="19.75"/>
    <col customWidth="1" min="8" max="8" width="8.88"/>
    <col customWidth="1" min="9" max="9" width="14.75"/>
    <col customWidth="1" min="10" max="10" width="16.63"/>
    <col customWidth="1" min="11" max="12" width="20.75"/>
    <col customWidth="1" min="14" max="14" width="22.0"/>
  </cols>
  <sheetData>
    <row r="1" ht="22.5" customHeight="1">
      <c r="A1" s="66" t="s">
        <v>0</v>
      </c>
      <c r="B1" s="66" t="s">
        <v>1</v>
      </c>
      <c r="C1" s="67" t="s">
        <v>2</v>
      </c>
      <c r="D1" s="68" t="s">
        <v>163</v>
      </c>
      <c r="E1" s="66" t="s">
        <v>4</v>
      </c>
      <c r="F1" s="66" t="s">
        <v>5</v>
      </c>
      <c r="G1" s="66" t="s">
        <v>6</v>
      </c>
      <c r="H1" s="3" t="s">
        <v>292</v>
      </c>
      <c r="I1" s="68" t="s">
        <v>293</v>
      </c>
    </row>
    <row r="2" ht="67.5" customHeight="1">
      <c r="A2" s="45">
        <v>1.0</v>
      </c>
      <c r="B2" s="46">
        <v>161.0</v>
      </c>
      <c r="C2" s="47" t="s">
        <v>291</v>
      </c>
      <c r="D2" s="47">
        <v>40.1</v>
      </c>
      <c r="E2" s="69"/>
      <c r="F2" s="47">
        <v>1.0</v>
      </c>
      <c r="G2" s="10"/>
      <c r="H2" s="70"/>
      <c r="I2" s="71" t="s">
        <v>294</v>
      </c>
    </row>
    <row r="3" ht="67.5" customHeight="1">
      <c r="A3" s="45">
        <v>1.0</v>
      </c>
      <c r="B3" s="46">
        <v>162.0</v>
      </c>
      <c r="C3" s="47" t="s">
        <v>295</v>
      </c>
      <c r="D3" s="47">
        <v>38.2</v>
      </c>
      <c r="E3" s="69"/>
      <c r="F3" s="47">
        <v>1.0</v>
      </c>
      <c r="G3" s="9" t="s">
        <v>296</v>
      </c>
      <c r="H3" s="72"/>
      <c r="I3" s="73" t="s">
        <v>297</v>
      </c>
    </row>
    <row r="4" ht="67.5" customHeight="1">
      <c r="A4" s="45">
        <v>1.0</v>
      </c>
      <c r="B4" s="46">
        <v>163.0</v>
      </c>
      <c r="C4" s="47" t="s">
        <v>298</v>
      </c>
      <c r="D4" s="47">
        <v>36.6</v>
      </c>
      <c r="E4" s="69"/>
      <c r="F4" s="47">
        <v>1.0</v>
      </c>
      <c r="G4" s="10"/>
      <c r="H4" s="70"/>
      <c r="I4" s="74"/>
    </row>
    <row r="5" ht="67.5" customHeight="1">
      <c r="A5" s="45">
        <v>1.0</v>
      </c>
      <c r="B5" s="47">
        <v>164.0</v>
      </c>
      <c r="C5" s="47" t="s">
        <v>299</v>
      </c>
      <c r="D5" s="48"/>
      <c r="E5" s="69"/>
      <c r="F5" s="48"/>
      <c r="G5" s="10"/>
      <c r="H5" s="72"/>
      <c r="I5" s="74"/>
    </row>
    <row r="6" ht="67.5" customHeight="1">
      <c r="A6" s="45">
        <v>1.0</v>
      </c>
      <c r="B6" s="46">
        <v>165.0</v>
      </c>
      <c r="C6" s="47" t="s">
        <v>300</v>
      </c>
      <c r="D6" s="47">
        <v>58.1</v>
      </c>
      <c r="E6" s="69"/>
      <c r="F6" s="47">
        <v>1.0</v>
      </c>
      <c r="G6" s="9" t="s">
        <v>278</v>
      </c>
      <c r="H6" s="70"/>
      <c r="I6" s="75" t="s">
        <v>301</v>
      </c>
    </row>
    <row r="7" ht="67.5" customHeight="1">
      <c r="A7" s="45">
        <v>1.0</v>
      </c>
      <c r="B7" s="46">
        <v>166.0</v>
      </c>
      <c r="C7" s="47" t="s">
        <v>302</v>
      </c>
      <c r="D7" s="47">
        <v>55.2</v>
      </c>
      <c r="E7" s="69"/>
      <c r="F7" s="47">
        <v>1.0</v>
      </c>
      <c r="G7" s="76" t="s">
        <v>278</v>
      </c>
      <c r="H7" s="72"/>
      <c r="I7" s="73" t="s">
        <v>303</v>
      </c>
    </row>
    <row r="8" ht="67.5" customHeight="1">
      <c r="A8" s="45">
        <v>2.0</v>
      </c>
      <c r="B8" s="46">
        <v>167.0</v>
      </c>
      <c r="C8" s="47" t="s">
        <v>304</v>
      </c>
      <c r="D8" s="47">
        <v>39.8</v>
      </c>
      <c r="E8" s="69"/>
      <c r="F8" s="47">
        <v>1.0</v>
      </c>
      <c r="G8" s="10"/>
      <c r="H8" s="77">
        <v>1000.0</v>
      </c>
      <c r="I8" s="78" t="s">
        <v>305</v>
      </c>
    </row>
    <row r="9" ht="67.5" customHeight="1">
      <c r="A9" s="45">
        <v>2.0</v>
      </c>
      <c r="B9" s="47">
        <v>168.0</v>
      </c>
      <c r="C9" s="47" t="s">
        <v>306</v>
      </c>
      <c r="D9" s="48"/>
      <c r="E9" s="69"/>
      <c r="F9" s="48"/>
      <c r="G9" s="10"/>
      <c r="H9" s="72"/>
      <c r="I9" s="74"/>
    </row>
    <row r="10" ht="67.5" customHeight="1">
      <c r="A10" s="45">
        <v>2.0</v>
      </c>
      <c r="B10" s="46">
        <v>169.0</v>
      </c>
      <c r="C10" s="47" t="s">
        <v>307</v>
      </c>
      <c r="D10" s="47">
        <v>36.4</v>
      </c>
      <c r="E10" s="69"/>
      <c r="F10" s="47">
        <v>1.0</v>
      </c>
      <c r="G10" s="10"/>
      <c r="H10" s="77">
        <v>1000.0</v>
      </c>
      <c r="I10" s="73" t="s">
        <v>308</v>
      </c>
    </row>
    <row r="11" ht="67.5" customHeight="1">
      <c r="A11" s="45">
        <v>2.0</v>
      </c>
      <c r="B11" s="46">
        <v>170.0</v>
      </c>
      <c r="C11" s="47" t="s">
        <v>309</v>
      </c>
      <c r="D11" s="47">
        <v>58.0</v>
      </c>
      <c r="E11" s="45">
        <v>1.0</v>
      </c>
      <c r="F11" s="48"/>
      <c r="G11" s="10"/>
      <c r="H11" s="77">
        <v>1000.0</v>
      </c>
      <c r="I11" s="73" t="s">
        <v>310</v>
      </c>
    </row>
    <row r="12" ht="67.5" customHeight="1">
      <c r="A12" s="45">
        <v>2.0</v>
      </c>
      <c r="B12" s="47">
        <v>171.0</v>
      </c>
      <c r="C12" s="47" t="s">
        <v>311</v>
      </c>
      <c r="D12" s="48"/>
      <c r="E12" s="69"/>
      <c r="F12" s="47">
        <v>0.0</v>
      </c>
      <c r="G12" s="9" t="s">
        <v>312</v>
      </c>
      <c r="H12" s="70"/>
      <c r="I12" s="75" t="s">
        <v>313</v>
      </c>
    </row>
    <row r="13" ht="67.5" customHeight="1">
      <c r="A13" s="45">
        <v>2.0</v>
      </c>
      <c r="B13" s="46">
        <v>172.0</v>
      </c>
      <c r="C13" s="47" t="s">
        <v>314</v>
      </c>
      <c r="D13" s="47">
        <v>85.0</v>
      </c>
      <c r="E13" s="69"/>
      <c r="F13" s="47">
        <v>1.0</v>
      </c>
      <c r="G13" s="10"/>
      <c r="H13" s="77">
        <v>1000.0</v>
      </c>
      <c r="I13" s="74"/>
    </row>
    <row r="14" ht="67.5" customHeight="1">
      <c r="A14" s="45">
        <v>2.0</v>
      </c>
      <c r="B14" s="47">
        <v>173.0</v>
      </c>
      <c r="C14" s="47" t="s">
        <v>315</v>
      </c>
      <c r="D14" s="48"/>
      <c r="E14" s="69"/>
      <c r="F14" s="48"/>
      <c r="G14" s="10"/>
      <c r="H14" s="70"/>
      <c r="I14" s="79" t="s">
        <v>316</v>
      </c>
    </row>
    <row r="15" ht="67.5" customHeight="1">
      <c r="A15" s="45">
        <v>3.0</v>
      </c>
      <c r="B15" s="46">
        <v>174.0</v>
      </c>
      <c r="C15" s="47" t="s">
        <v>317</v>
      </c>
      <c r="D15" s="47"/>
      <c r="E15" s="69"/>
      <c r="F15" s="47">
        <v>1.0</v>
      </c>
      <c r="G15" s="9" t="s">
        <v>318</v>
      </c>
      <c r="H15" s="77">
        <v>1000.0</v>
      </c>
      <c r="I15" s="73" t="s">
        <v>319</v>
      </c>
    </row>
    <row r="16" ht="67.5" customHeight="1">
      <c r="A16" s="45">
        <v>3.0</v>
      </c>
      <c r="B16" s="46">
        <v>175.0</v>
      </c>
      <c r="C16" s="47" t="s">
        <v>320</v>
      </c>
      <c r="D16" s="47">
        <v>38.4</v>
      </c>
      <c r="E16" s="69"/>
      <c r="F16" s="47">
        <v>1.0</v>
      </c>
      <c r="G16" s="9" t="s">
        <v>321</v>
      </c>
      <c r="H16" s="77">
        <v>1000.0</v>
      </c>
      <c r="I16" s="75" t="s">
        <v>322</v>
      </c>
    </row>
    <row r="17" ht="67.5" customHeight="1">
      <c r="A17" s="45">
        <v>3.0</v>
      </c>
      <c r="B17" s="46">
        <v>176.0</v>
      </c>
      <c r="C17" s="47" t="s">
        <v>323</v>
      </c>
      <c r="D17" s="47">
        <v>36.3</v>
      </c>
      <c r="E17" s="69"/>
      <c r="F17" s="47">
        <v>1.0</v>
      </c>
      <c r="G17" s="9" t="s">
        <v>324</v>
      </c>
      <c r="H17" s="80">
        <v>1000.0</v>
      </c>
      <c r="I17" s="73" t="s">
        <v>325</v>
      </c>
    </row>
    <row r="18" ht="67.5" customHeight="1">
      <c r="A18" s="81">
        <v>3.0</v>
      </c>
      <c r="B18" s="82">
        <v>177.0</v>
      </c>
      <c r="C18" s="47" t="s">
        <v>326</v>
      </c>
      <c r="D18" s="47">
        <v>55.4</v>
      </c>
      <c r="E18" s="45">
        <v>1.0</v>
      </c>
      <c r="F18" s="48"/>
      <c r="G18" s="10"/>
      <c r="H18" s="77">
        <v>1000.0</v>
      </c>
      <c r="I18" s="73" t="s">
        <v>327</v>
      </c>
    </row>
    <row r="19" ht="67.5" customHeight="1">
      <c r="A19" s="45">
        <v>3.0</v>
      </c>
      <c r="B19" s="46">
        <v>178.0</v>
      </c>
      <c r="C19" s="47" t="s">
        <v>328</v>
      </c>
      <c r="D19" s="47">
        <v>55.9</v>
      </c>
      <c r="E19" s="69"/>
      <c r="F19" s="47">
        <v>1.0</v>
      </c>
      <c r="G19" s="9" t="s">
        <v>329</v>
      </c>
      <c r="H19" s="77">
        <v>1000.0</v>
      </c>
      <c r="I19" s="73" t="s">
        <v>330</v>
      </c>
    </row>
    <row r="20" ht="67.5" customHeight="1">
      <c r="A20" s="45">
        <v>3.0</v>
      </c>
      <c r="B20" s="46">
        <v>179.0</v>
      </c>
      <c r="C20" s="47" t="s">
        <v>331</v>
      </c>
      <c r="D20" s="47">
        <v>84.9</v>
      </c>
      <c r="E20" s="69"/>
      <c r="F20" s="47">
        <f>1/8</f>
        <v>0.125</v>
      </c>
      <c r="G20" s="10"/>
      <c r="H20" s="77">
        <v>1000.0</v>
      </c>
      <c r="I20" s="73" t="s">
        <v>332</v>
      </c>
    </row>
    <row r="21" ht="67.5" customHeight="1">
      <c r="A21" s="45">
        <v>3.0</v>
      </c>
      <c r="B21" s="46">
        <v>180.0</v>
      </c>
      <c r="C21" s="47" t="s">
        <v>333</v>
      </c>
      <c r="D21" s="47">
        <v>55.3</v>
      </c>
      <c r="E21" s="69"/>
      <c r="F21" s="47">
        <v>1.0</v>
      </c>
      <c r="G21" s="10"/>
      <c r="H21" s="77">
        <v>1000.0</v>
      </c>
      <c r="I21" s="73" t="s">
        <v>334</v>
      </c>
    </row>
    <row r="22" ht="67.5" customHeight="1">
      <c r="A22" s="45">
        <v>4.0</v>
      </c>
      <c r="B22" s="46">
        <v>181.0</v>
      </c>
      <c r="C22" s="47" t="s">
        <v>335</v>
      </c>
      <c r="D22" s="47">
        <v>39.8</v>
      </c>
      <c r="E22" s="69"/>
      <c r="F22" s="47">
        <v>1.0</v>
      </c>
      <c r="G22" s="10"/>
      <c r="H22" s="77">
        <v>1000.0</v>
      </c>
      <c r="I22" s="73" t="s">
        <v>336</v>
      </c>
    </row>
    <row r="23" ht="67.5" customHeight="1">
      <c r="A23" s="45">
        <v>4.0</v>
      </c>
      <c r="B23" s="47">
        <v>182.0</v>
      </c>
      <c r="C23" s="47" t="s">
        <v>337</v>
      </c>
      <c r="D23" s="48"/>
      <c r="E23" s="69"/>
      <c r="F23" s="48"/>
      <c r="G23" s="10"/>
      <c r="H23" s="83"/>
      <c r="I23" s="73" t="s">
        <v>338</v>
      </c>
    </row>
    <row r="24" ht="67.5" customHeight="1">
      <c r="A24" s="45">
        <v>4.0</v>
      </c>
      <c r="B24" s="47">
        <v>183.0</v>
      </c>
      <c r="C24" s="47" t="s">
        <v>339</v>
      </c>
      <c r="D24" s="48"/>
      <c r="E24" s="69"/>
      <c r="F24" s="48"/>
      <c r="G24" s="10"/>
      <c r="H24" s="77">
        <v>1000.0</v>
      </c>
      <c r="I24" s="73" t="s">
        <v>340</v>
      </c>
    </row>
    <row r="25" ht="67.5" customHeight="1">
      <c r="A25" s="45">
        <v>4.0</v>
      </c>
      <c r="B25" s="59">
        <v>184.0</v>
      </c>
      <c r="C25" s="47" t="s">
        <v>341</v>
      </c>
      <c r="D25" s="47">
        <v>55.8</v>
      </c>
      <c r="E25" s="69"/>
      <c r="F25" s="47">
        <v>1.0</v>
      </c>
      <c r="G25" s="9" t="s">
        <v>342</v>
      </c>
      <c r="H25" s="77">
        <v>1000.0</v>
      </c>
      <c r="I25" s="74"/>
    </row>
    <row r="26" ht="67.5" customHeight="1">
      <c r="A26" s="45">
        <v>4.0</v>
      </c>
      <c r="B26" s="46">
        <v>185.0</v>
      </c>
      <c r="C26" s="47" t="s">
        <v>343</v>
      </c>
      <c r="D26" s="47">
        <v>55.0</v>
      </c>
      <c r="E26" s="69"/>
      <c r="F26" s="47">
        <v>1.0</v>
      </c>
      <c r="G26" s="10"/>
      <c r="H26" s="77">
        <v>1000.0</v>
      </c>
      <c r="I26" s="73" t="s">
        <v>344</v>
      </c>
    </row>
    <row r="27" ht="67.5" customHeight="1">
      <c r="A27" s="45">
        <v>4.0</v>
      </c>
      <c r="B27" s="46">
        <v>186.0</v>
      </c>
      <c r="C27" s="47" t="s">
        <v>345</v>
      </c>
      <c r="D27" s="47">
        <v>85.0</v>
      </c>
      <c r="E27" s="45">
        <v>0.25</v>
      </c>
      <c r="F27" s="47">
        <v>0.25</v>
      </c>
      <c r="G27" s="10"/>
      <c r="H27" s="77">
        <v>1000.0</v>
      </c>
      <c r="I27" s="73" t="s">
        <v>346</v>
      </c>
    </row>
    <row r="28" ht="67.5" customHeight="1">
      <c r="A28" s="45">
        <v>4.0</v>
      </c>
      <c r="B28" s="47">
        <v>187.0</v>
      </c>
      <c r="C28" s="47" t="s">
        <v>347</v>
      </c>
      <c r="D28" s="48"/>
      <c r="E28" s="69"/>
      <c r="F28" s="48"/>
      <c r="G28" s="10"/>
      <c r="H28" s="70"/>
      <c r="I28" s="74"/>
    </row>
    <row r="29" ht="67.5" customHeight="1">
      <c r="A29" s="45">
        <v>5.0</v>
      </c>
      <c r="B29" s="47">
        <v>188.0</v>
      </c>
      <c r="C29" s="47" t="s">
        <v>348</v>
      </c>
      <c r="D29" s="48"/>
      <c r="E29" s="69"/>
      <c r="F29" s="48"/>
      <c r="G29" s="10"/>
      <c r="H29" s="84"/>
      <c r="I29" s="73" t="s">
        <v>349</v>
      </c>
    </row>
    <row r="30" ht="67.5" customHeight="1">
      <c r="A30" s="45">
        <v>5.0</v>
      </c>
      <c r="B30" s="47">
        <v>189.0</v>
      </c>
      <c r="C30" s="47" t="s">
        <v>350</v>
      </c>
      <c r="D30" s="48"/>
      <c r="E30" s="69"/>
      <c r="F30" s="48"/>
      <c r="G30" s="9" t="s">
        <v>351</v>
      </c>
      <c r="H30" s="77">
        <v>1000.0</v>
      </c>
      <c r="I30" s="73" t="s">
        <v>352</v>
      </c>
    </row>
    <row r="31" ht="67.5" customHeight="1">
      <c r="A31" s="45">
        <v>5.0</v>
      </c>
      <c r="B31" s="46">
        <v>190.0</v>
      </c>
      <c r="C31" s="47" t="s">
        <v>353</v>
      </c>
      <c r="D31" s="47">
        <v>36.3</v>
      </c>
      <c r="E31" s="69"/>
      <c r="F31" s="47">
        <v>1.0</v>
      </c>
      <c r="G31" s="9" t="s">
        <v>354</v>
      </c>
      <c r="H31" s="80">
        <v>1000.0</v>
      </c>
      <c r="I31" s="74">
        <v>79781268505</v>
      </c>
    </row>
    <row r="32" ht="67.5" customHeight="1">
      <c r="A32" s="45">
        <v>5.0</v>
      </c>
      <c r="B32" s="46">
        <v>191.0</v>
      </c>
      <c r="C32" s="47" t="s">
        <v>355</v>
      </c>
      <c r="D32" s="47">
        <v>55.9</v>
      </c>
      <c r="E32" s="69"/>
      <c r="F32" s="47">
        <v>1.0</v>
      </c>
      <c r="G32" s="10"/>
      <c r="H32" s="70"/>
      <c r="I32" s="78" t="s">
        <v>356</v>
      </c>
    </row>
    <row r="33" ht="67.5" customHeight="1">
      <c r="A33" s="45">
        <v>5.0</v>
      </c>
      <c r="B33" s="61">
        <v>192.0</v>
      </c>
      <c r="C33" s="47" t="s">
        <v>357</v>
      </c>
      <c r="D33" s="47">
        <v>55.8</v>
      </c>
      <c r="E33" s="45">
        <v>1.0</v>
      </c>
      <c r="F33" s="48"/>
      <c r="G33" s="10"/>
      <c r="H33" s="77">
        <v>1000.0</v>
      </c>
      <c r="I33" s="73" t="s">
        <v>358</v>
      </c>
    </row>
    <row r="34" ht="67.5" customHeight="1">
      <c r="A34" s="45">
        <v>5.0</v>
      </c>
      <c r="B34" s="46">
        <v>193.0</v>
      </c>
      <c r="C34" s="47" t="s">
        <v>359</v>
      </c>
      <c r="D34" s="47">
        <v>0.0</v>
      </c>
      <c r="E34" s="69"/>
      <c r="F34" s="47">
        <v>1.0</v>
      </c>
      <c r="G34" s="10"/>
      <c r="H34" s="70"/>
      <c r="I34" s="73" t="s">
        <v>360</v>
      </c>
    </row>
    <row r="35" ht="67.5" customHeight="1">
      <c r="A35" s="45">
        <v>5.0</v>
      </c>
      <c r="B35" s="46">
        <v>194.0</v>
      </c>
      <c r="C35" s="47" t="s">
        <v>361</v>
      </c>
      <c r="D35" s="47">
        <v>55.3</v>
      </c>
      <c r="E35" s="69"/>
      <c r="F35" s="47">
        <v>1.0</v>
      </c>
      <c r="G35" s="10"/>
      <c r="H35" s="77">
        <v>1000.0</v>
      </c>
      <c r="I35" s="79" t="s">
        <v>362</v>
      </c>
    </row>
    <row r="36" ht="67.5" customHeight="1">
      <c r="A36" s="45">
        <v>6.0</v>
      </c>
      <c r="B36" s="59">
        <v>195.0</v>
      </c>
      <c r="C36" s="47" t="s">
        <v>363</v>
      </c>
      <c r="D36" s="47">
        <v>40.2</v>
      </c>
      <c r="E36" s="69"/>
      <c r="F36" s="47">
        <v>1.0</v>
      </c>
      <c r="G36" s="9" t="s">
        <v>364</v>
      </c>
      <c r="H36" s="77">
        <v>1000.0</v>
      </c>
      <c r="I36" s="73" t="s">
        <v>365</v>
      </c>
    </row>
    <row r="37" ht="67.5" customHeight="1">
      <c r="A37" s="45">
        <v>6.0</v>
      </c>
      <c r="B37" s="85">
        <v>196.0</v>
      </c>
      <c r="C37" s="47" t="s">
        <v>366</v>
      </c>
      <c r="D37" s="48"/>
      <c r="E37" s="69"/>
      <c r="F37" s="48"/>
      <c r="G37" s="10"/>
      <c r="H37" s="72"/>
      <c r="I37" s="74"/>
    </row>
    <row r="38" ht="67.5" customHeight="1">
      <c r="A38" s="45">
        <v>6.0</v>
      </c>
      <c r="B38" s="59">
        <v>197.0</v>
      </c>
      <c r="C38" s="47" t="s">
        <v>367</v>
      </c>
      <c r="D38" s="47">
        <v>36.2</v>
      </c>
      <c r="E38" s="69"/>
      <c r="F38" s="47">
        <v>1.0</v>
      </c>
      <c r="G38" s="9" t="s">
        <v>364</v>
      </c>
      <c r="H38" s="77">
        <v>1000.0</v>
      </c>
      <c r="I38" s="74"/>
    </row>
    <row r="39" ht="67.5" customHeight="1">
      <c r="A39" s="81">
        <v>6.0</v>
      </c>
      <c r="B39" s="82">
        <v>198.0</v>
      </c>
      <c r="C39" s="47" t="s">
        <v>368</v>
      </c>
      <c r="D39" s="47">
        <v>55.8</v>
      </c>
      <c r="E39" s="45">
        <v>1.0</v>
      </c>
      <c r="F39" s="48"/>
      <c r="G39" s="10"/>
      <c r="H39" s="77">
        <v>1000.0</v>
      </c>
      <c r="I39" s="73" t="s">
        <v>369</v>
      </c>
    </row>
    <row r="40" ht="67.5" customHeight="1">
      <c r="A40" s="45">
        <v>6.0</v>
      </c>
      <c r="B40" s="82">
        <v>199.0</v>
      </c>
      <c r="C40" s="47" t="s">
        <v>370</v>
      </c>
      <c r="D40" s="47"/>
      <c r="E40" s="45"/>
      <c r="F40" s="47">
        <v>1.0</v>
      </c>
      <c r="G40" s="10"/>
      <c r="H40" s="77">
        <v>1000.0</v>
      </c>
      <c r="I40" s="74"/>
    </row>
    <row r="41" ht="67.5" customHeight="1">
      <c r="A41" s="45">
        <v>6.0</v>
      </c>
      <c r="B41" s="82">
        <v>200.0</v>
      </c>
      <c r="C41" s="47" t="s">
        <v>371</v>
      </c>
      <c r="D41" s="47">
        <v>85.2</v>
      </c>
      <c r="E41" s="45">
        <v>1.0</v>
      </c>
      <c r="F41" s="48"/>
      <c r="G41" s="10"/>
      <c r="H41" s="77">
        <v>1000.0</v>
      </c>
      <c r="I41" s="73" t="s">
        <v>372</v>
      </c>
    </row>
    <row r="42" ht="67.5" customHeight="1">
      <c r="A42" s="45">
        <v>6.0</v>
      </c>
      <c r="B42" s="59">
        <v>201.0</v>
      </c>
      <c r="C42" s="47" t="s">
        <v>373</v>
      </c>
      <c r="D42" s="48"/>
      <c r="E42" s="69"/>
      <c r="F42" s="48"/>
      <c r="G42" s="9"/>
      <c r="H42" s="70"/>
      <c r="I42" s="74"/>
    </row>
    <row r="43" ht="67.5" customHeight="1">
      <c r="A43" s="45">
        <v>7.0</v>
      </c>
      <c r="B43" s="46">
        <v>202.0</v>
      </c>
      <c r="C43" s="47" t="s">
        <v>374</v>
      </c>
      <c r="D43" s="47">
        <v>39.8</v>
      </c>
      <c r="E43" s="69"/>
      <c r="F43" s="47">
        <v>1.0</v>
      </c>
      <c r="G43" s="10"/>
      <c r="H43" s="77">
        <v>1000.0</v>
      </c>
      <c r="I43" s="78" t="s">
        <v>375</v>
      </c>
    </row>
    <row r="44" ht="67.5" customHeight="1">
      <c r="A44" s="45">
        <v>7.0</v>
      </c>
      <c r="B44" s="46">
        <v>203.0</v>
      </c>
      <c r="C44" s="47" t="s">
        <v>376</v>
      </c>
      <c r="D44" s="47">
        <v>37.9</v>
      </c>
      <c r="E44" s="69"/>
      <c r="F44" s="47">
        <v>1.0</v>
      </c>
      <c r="G44" s="9" t="s">
        <v>377</v>
      </c>
      <c r="H44" s="77">
        <v>1000.0</v>
      </c>
      <c r="I44" s="73" t="s">
        <v>378</v>
      </c>
    </row>
    <row r="45" ht="67.5" customHeight="1">
      <c r="A45" s="45">
        <v>7.0</v>
      </c>
      <c r="B45" s="46">
        <v>204.0</v>
      </c>
      <c r="C45" s="47" t="s">
        <v>379</v>
      </c>
      <c r="D45" s="47">
        <v>35.7</v>
      </c>
      <c r="E45" s="45">
        <v>1.0</v>
      </c>
      <c r="F45" s="48"/>
      <c r="G45" s="10"/>
      <c r="H45" s="84"/>
      <c r="I45" s="73" t="s">
        <v>380</v>
      </c>
    </row>
    <row r="46" ht="67.5" customHeight="1">
      <c r="A46" s="45">
        <v>7.0</v>
      </c>
      <c r="B46" s="85">
        <v>205.0</v>
      </c>
      <c r="C46" s="47" t="s">
        <v>381</v>
      </c>
      <c r="D46" s="48"/>
      <c r="E46" s="69"/>
      <c r="F46" s="48"/>
      <c r="G46" s="9" t="s">
        <v>382</v>
      </c>
      <c r="H46" s="84"/>
      <c r="I46" s="86" t="s">
        <v>383</v>
      </c>
    </row>
    <row r="47" ht="67.5" customHeight="1">
      <c r="A47" s="45">
        <v>7.0</v>
      </c>
      <c r="B47" s="47">
        <v>206.0</v>
      </c>
      <c r="C47" s="47" t="s">
        <v>384</v>
      </c>
      <c r="D47" s="48"/>
      <c r="E47" s="69"/>
      <c r="F47" s="48"/>
      <c r="G47" s="10"/>
      <c r="H47" s="77">
        <v>1000.0</v>
      </c>
      <c r="I47" s="73" t="s">
        <v>385</v>
      </c>
    </row>
    <row r="48" ht="67.5" customHeight="1">
      <c r="A48" s="45">
        <v>7.0</v>
      </c>
      <c r="B48" s="47">
        <v>207.0</v>
      </c>
      <c r="C48" s="47" t="s">
        <v>386</v>
      </c>
      <c r="D48" s="48"/>
      <c r="E48" s="69"/>
      <c r="F48" s="48"/>
      <c r="G48" s="10"/>
      <c r="H48" s="77">
        <v>1000.0</v>
      </c>
      <c r="I48" s="74"/>
    </row>
    <row r="49" ht="67.5" customHeight="1">
      <c r="A49" s="45">
        <v>7.0</v>
      </c>
      <c r="B49" s="46">
        <v>208.0</v>
      </c>
      <c r="C49" s="47" t="s">
        <v>387</v>
      </c>
      <c r="D49" s="47">
        <v>54.8</v>
      </c>
      <c r="E49" s="45">
        <v>1.0</v>
      </c>
      <c r="F49" s="48"/>
      <c r="G49" s="10"/>
      <c r="H49" s="77">
        <v>1000.0</v>
      </c>
      <c r="I49" s="79" t="s">
        <v>388</v>
      </c>
    </row>
    <row r="50" ht="67.5" customHeight="1">
      <c r="A50" s="45">
        <v>8.0</v>
      </c>
      <c r="B50" s="47">
        <v>209.0</v>
      </c>
      <c r="C50" s="47" t="s">
        <v>389</v>
      </c>
      <c r="D50" s="48"/>
      <c r="E50" s="69"/>
      <c r="F50" s="48"/>
      <c r="G50" s="9" t="s">
        <v>390</v>
      </c>
      <c r="H50" s="77">
        <v>1000.0</v>
      </c>
      <c r="I50" s="73" t="s">
        <v>391</v>
      </c>
    </row>
    <row r="51" ht="67.5" customHeight="1">
      <c r="A51" s="45">
        <v>8.0</v>
      </c>
      <c r="B51" s="59">
        <v>210.0</v>
      </c>
      <c r="C51" s="47" t="s">
        <v>392</v>
      </c>
      <c r="D51" s="47">
        <v>37.9</v>
      </c>
      <c r="E51" s="69"/>
      <c r="F51" s="47">
        <v>1.0</v>
      </c>
      <c r="G51" s="9" t="s">
        <v>245</v>
      </c>
      <c r="H51" s="80">
        <v>1000.0</v>
      </c>
      <c r="I51" s="73" t="s">
        <v>393</v>
      </c>
    </row>
    <row r="52" ht="67.5" customHeight="1">
      <c r="A52" s="81">
        <v>8.0</v>
      </c>
      <c r="B52" s="59">
        <v>211.0</v>
      </c>
      <c r="C52" s="47" t="s">
        <v>394</v>
      </c>
      <c r="D52" s="47">
        <v>35.6</v>
      </c>
      <c r="E52" s="69"/>
      <c r="F52" s="47">
        <v>1.0</v>
      </c>
      <c r="G52" s="9" t="s">
        <v>245</v>
      </c>
      <c r="H52" s="80">
        <v>1000.0</v>
      </c>
      <c r="I52" s="73" t="s">
        <v>395</v>
      </c>
    </row>
    <row r="53" ht="67.5" customHeight="1">
      <c r="A53" s="45">
        <v>8.0</v>
      </c>
      <c r="B53" s="46">
        <v>212.0</v>
      </c>
      <c r="C53" s="47" t="s">
        <v>396</v>
      </c>
      <c r="D53" s="47">
        <v>55.4</v>
      </c>
      <c r="E53" s="45">
        <v>1.0</v>
      </c>
      <c r="F53" s="48"/>
      <c r="G53" s="10"/>
      <c r="H53" s="77">
        <v>1000.0</v>
      </c>
      <c r="I53" s="73" t="s">
        <v>397</v>
      </c>
    </row>
    <row r="54" ht="67.5" customHeight="1">
      <c r="A54" s="45">
        <v>8.0</v>
      </c>
      <c r="B54" s="46">
        <v>213.0</v>
      </c>
      <c r="C54" s="47" t="s">
        <v>398</v>
      </c>
      <c r="D54" s="47">
        <v>55.6</v>
      </c>
      <c r="E54" s="45">
        <v>1.0</v>
      </c>
      <c r="F54" s="48"/>
      <c r="G54" s="10"/>
      <c r="H54" s="77">
        <v>1000.0</v>
      </c>
      <c r="I54" s="73" t="s">
        <v>399</v>
      </c>
    </row>
    <row r="55" ht="67.5" customHeight="1">
      <c r="A55" s="45">
        <v>8.0</v>
      </c>
      <c r="B55" s="46">
        <v>214.0</v>
      </c>
      <c r="C55" s="47" t="s">
        <v>400</v>
      </c>
      <c r="D55" s="47">
        <v>84.8</v>
      </c>
      <c r="E55" s="69"/>
      <c r="F55" s="47">
        <v>1.0</v>
      </c>
      <c r="G55" s="9" t="s">
        <v>401</v>
      </c>
      <c r="H55" s="77">
        <v>1000.0</v>
      </c>
      <c r="I55" s="87" t="s">
        <v>402</v>
      </c>
    </row>
    <row r="56" ht="67.5" customHeight="1">
      <c r="A56" s="45">
        <v>8.0</v>
      </c>
      <c r="B56" s="59">
        <v>215.0</v>
      </c>
      <c r="C56" s="47" t="s">
        <v>403</v>
      </c>
      <c r="D56" s="47">
        <v>54.7</v>
      </c>
      <c r="E56" s="69"/>
      <c r="F56" s="47">
        <v>1.0</v>
      </c>
      <c r="G56" s="9" t="s">
        <v>364</v>
      </c>
      <c r="H56" s="77">
        <v>1000.0</v>
      </c>
      <c r="I56" s="78" t="s">
        <v>404</v>
      </c>
    </row>
    <row r="57" ht="67.5" customHeight="1">
      <c r="A57" s="45">
        <v>9.0</v>
      </c>
      <c r="B57" s="47">
        <v>216.0</v>
      </c>
      <c r="C57" s="47" t="s">
        <v>405</v>
      </c>
      <c r="D57" s="48"/>
      <c r="E57" s="69"/>
      <c r="F57" s="47">
        <v>0.0</v>
      </c>
      <c r="G57" s="10"/>
      <c r="H57" s="77">
        <v>1000.0</v>
      </c>
      <c r="I57" s="73" t="s">
        <v>406</v>
      </c>
    </row>
    <row r="58" ht="67.5" customHeight="1">
      <c r="A58" s="45">
        <v>9.0</v>
      </c>
      <c r="B58" s="47">
        <v>217.0</v>
      </c>
      <c r="C58" s="47" t="s">
        <v>407</v>
      </c>
      <c r="D58" s="48"/>
      <c r="E58" s="69"/>
      <c r="F58" s="48"/>
      <c r="G58" s="9" t="s">
        <v>408</v>
      </c>
      <c r="H58" s="77">
        <v>1000.0</v>
      </c>
      <c r="I58" s="73" t="s">
        <v>352</v>
      </c>
    </row>
    <row r="59" ht="67.5" customHeight="1">
      <c r="A59" s="45">
        <v>9.0</v>
      </c>
      <c r="B59" s="46">
        <v>218.0</v>
      </c>
      <c r="C59" s="47" t="s">
        <v>409</v>
      </c>
      <c r="D59" s="48"/>
      <c r="E59" s="45"/>
      <c r="F59" s="48"/>
      <c r="G59" s="10"/>
      <c r="H59" s="72"/>
      <c r="I59" s="74"/>
    </row>
    <row r="60" ht="67.5" customHeight="1">
      <c r="A60" s="45">
        <v>9.0</v>
      </c>
      <c r="B60" s="59">
        <v>219.0</v>
      </c>
      <c r="C60" s="47" t="s">
        <v>410</v>
      </c>
      <c r="D60" s="48"/>
      <c r="E60" s="45"/>
      <c r="F60" s="47">
        <v>0.0</v>
      </c>
      <c r="G60" s="9" t="s">
        <v>44</v>
      </c>
      <c r="H60" s="70"/>
      <c r="I60" s="79" t="s">
        <v>411</v>
      </c>
    </row>
    <row r="61" ht="67.5" customHeight="1">
      <c r="A61" s="45">
        <v>9.0</v>
      </c>
      <c r="B61" s="46">
        <v>220.0</v>
      </c>
      <c r="C61" s="47" t="s">
        <v>412</v>
      </c>
      <c r="D61" s="47">
        <v>55.4</v>
      </c>
      <c r="E61" s="69"/>
      <c r="F61" s="47">
        <v>1.0</v>
      </c>
      <c r="G61" s="10"/>
      <c r="H61" s="77">
        <v>1000.0</v>
      </c>
      <c r="I61" s="79" t="s">
        <v>413</v>
      </c>
    </row>
    <row r="62" ht="67.5" customHeight="1">
      <c r="A62" s="81">
        <v>9.0</v>
      </c>
      <c r="B62" s="59">
        <v>221.0</v>
      </c>
      <c r="C62" s="47" t="s">
        <v>414</v>
      </c>
      <c r="D62" s="47">
        <v>84.7</v>
      </c>
      <c r="E62" s="69"/>
      <c r="F62" s="47">
        <v>1.0</v>
      </c>
      <c r="G62" s="9" t="s">
        <v>415</v>
      </c>
      <c r="H62" s="88">
        <v>1000.0</v>
      </c>
      <c r="I62" s="79">
        <v>79600246060</v>
      </c>
    </row>
    <row r="63" ht="67.5" customHeight="1">
      <c r="A63" s="45">
        <v>9.0</v>
      </c>
      <c r="B63" s="82">
        <v>222.0</v>
      </c>
      <c r="C63" s="47" t="s">
        <v>416</v>
      </c>
      <c r="D63" s="48"/>
      <c r="E63" s="69"/>
      <c r="F63" s="48"/>
      <c r="G63" s="9" t="s">
        <v>417</v>
      </c>
      <c r="H63" s="77">
        <v>1000.0</v>
      </c>
      <c r="I63" s="73" t="s">
        <v>418</v>
      </c>
    </row>
    <row r="64" ht="67.5" customHeight="1">
      <c r="A64" s="45">
        <v>10.0</v>
      </c>
      <c r="B64" s="47">
        <v>223.0</v>
      </c>
      <c r="C64" s="47" t="s">
        <v>419</v>
      </c>
      <c r="D64" s="48"/>
      <c r="E64" s="69"/>
      <c r="F64" s="48"/>
      <c r="G64" s="10"/>
      <c r="H64" s="70"/>
      <c r="I64" s="74"/>
    </row>
    <row r="65" ht="67.5" customHeight="1">
      <c r="A65" s="45">
        <v>10.0</v>
      </c>
      <c r="B65" s="46">
        <v>224.0</v>
      </c>
      <c r="C65" s="47" t="s">
        <v>420</v>
      </c>
      <c r="D65" s="47">
        <v>37.7</v>
      </c>
      <c r="E65" s="69"/>
      <c r="F65" s="47">
        <v>1.0</v>
      </c>
      <c r="G65" s="10"/>
      <c r="H65" s="72"/>
      <c r="I65" s="89"/>
    </row>
    <row r="66" ht="67.5" customHeight="1">
      <c r="A66" s="81">
        <v>10.0</v>
      </c>
      <c r="B66" s="59">
        <v>225.0</v>
      </c>
      <c r="C66" s="47" t="s">
        <v>421</v>
      </c>
      <c r="D66" s="47">
        <v>36.3</v>
      </c>
      <c r="E66" s="69"/>
      <c r="F66" s="47">
        <v>1.0</v>
      </c>
      <c r="G66" s="21"/>
      <c r="H66" s="70"/>
      <c r="I66" s="89"/>
    </row>
    <row r="67" ht="67.5" customHeight="1">
      <c r="A67" s="90">
        <v>10.0</v>
      </c>
      <c r="B67" s="82">
        <v>226.0</v>
      </c>
      <c r="C67" s="47" t="s">
        <v>422</v>
      </c>
      <c r="D67" s="47">
        <v>55.4</v>
      </c>
      <c r="E67" s="45">
        <v>0.5</v>
      </c>
      <c r="F67" s="47">
        <v>0.0</v>
      </c>
      <c r="G67" s="21"/>
      <c r="H67" s="77">
        <v>1000.0</v>
      </c>
      <c r="I67" s="73" t="s">
        <v>423</v>
      </c>
    </row>
    <row r="68" ht="67.5" customHeight="1">
      <c r="A68" s="45">
        <v>10.0</v>
      </c>
      <c r="B68" s="46">
        <v>227.0</v>
      </c>
      <c r="C68" s="47" t="s">
        <v>424</v>
      </c>
      <c r="D68" s="47">
        <v>55.4</v>
      </c>
      <c r="E68" s="45">
        <v>1.0</v>
      </c>
      <c r="F68" s="48"/>
      <c r="G68" s="21"/>
      <c r="H68" s="77">
        <v>1000.0</v>
      </c>
      <c r="I68" s="73" t="s">
        <v>425</v>
      </c>
    </row>
    <row r="69" ht="67.5" customHeight="1">
      <c r="A69" s="81">
        <v>10.0</v>
      </c>
      <c r="B69" s="82">
        <v>228.0</v>
      </c>
      <c r="C69" s="47" t="s">
        <v>426</v>
      </c>
      <c r="D69" s="47">
        <v>84.3</v>
      </c>
      <c r="E69" s="45">
        <f>1/3</f>
        <v>0.3333333333</v>
      </c>
      <c r="F69" s="47">
        <v>0.0</v>
      </c>
      <c r="G69" s="8" t="s">
        <v>427</v>
      </c>
      <c r="H69" s="77">
        <v>1000.0</v>
      </c>
      <c r="I69" s="73" t="s">
        <v>428</v>
      </c>
    </row>
    <row r="70" ht="67.5" customHeight="1">
      <c r="A70" s="81">
        <v>10.0</v>
      </c>
      <c r="B70" s="82">
        <v>229.0</v>
      </c>
      <c r="C70" s="47" t="s">
        <v>429</v>
      </c>
      <c r="D70" s="47"/>
      <c r="E70" s="69"/>
      <c r="F70" s="47">
        <v>0.0</v>
      </c>
      <c r="G70" s="8" t="s">
        <v>430</v>
      </c>
      <c r="H70" s="77">
        <v>1000.0</v>
      </c>
      <c r="I70" s="78" t="s">
        <v>431</v>
      </c>
    </row>
    <row r="71" ht="22.5" customHeight="1">
      <c r="A71" s="91"/>
      <c r="B71" s="92"/>
      <c r="C71" s="93"/>
      <c r="D71" s="92">
        <f>SUM(Подъезд3[Квадратура])</f>
        <v>2331.3</v>
      </c>
      <c r="E71" s="94">
        <f>SUM(E2:E70)</f>
        <v>11.08333333</v>
      </c>
      <c r="F71" s="92">
        <f>SUM(Подъезд3[Бланк])</f>
        <v>33.375</v>
      </c>
      <c r="G71" s="92"/>
      <c r="H71" s="95">
        <f>SUM(H2:H70)</f>
        <v>46000</v>
      </c>
      <c r="I71" s="96"/>
    </row>
    <row r="72">
      <c r="A72" s="97"/>
    </row>
    <row r="73">
      <c r="A73" s="97"/>
    </row>
    <row r="74">
      <c r="A74" s="97"/>
    </row>
    <row r="75">
      <c r="A75" s="97"/>
    </row>
    <row r="76">
      <c r="A76" s="97"/>
    </row>
    <row r="77">
      <c r="A77" s="97"/>
    </row>
    <row r="78">
      <c r="A78" s="97"/>
    </row>
    <row r="79">
      <c r="A79" s="97"/>
    </row>
    <row r="80">
      <c r="A80" s="97"/>
    </row>
    <row r="81">
      <c r="A81" s="97"/>
    </row>
  </sheetData>
  <conditionalFormatting sqref="C2:G70 I2:I70">
    <cfRule type="cellIs" dxfId="6" priority="1" operator="greaterThanOrEqual">
      <formula>1</formula>
    </cfRule>
  </conditionalFormatting>
  <conditionalFormatting sqref="D2:D70">
    <cfRule type="containsBlanks" dxfId="7" priority="2">
      <formula>LEN(TRIM(D2))=0</formula>
    </cfRule>
  </conditionalFormatting>
  <dataValidations>
    <dataValidation type="custom" allowBlank="1" showDropDown="1" sqref="E2:E70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3" max="3" width="5.88"/>
    <col customWidth="1" min="4" max="4" width="7.5"/>
    <col customWidth="1" min="5" max="5" width="5.13"/>
    <col customWidth="1" min="8" max="8" width="29.75"/>
    <col customWidth="1" min="9" max="9" width="23.88"/>
    <col customWidth="1" min="10" max="10" width="15.75"/>
  </cols>
  <sheetData>
    <row r="1" ht="28.5" customHeight="1">
      <c r="A1" s="98" t="s">
        <v>1</v>
      </c>
      <c r="B1" s="98" t="s">
        <v>2</v>
      </c>
      <c r="C1" s="98" t="s">
        <v>163</v>
      </c>
      <c r="D1" s="98" t="s">
        <v>432</v>
      </c>
      <c r="E1" s="98" t="s">
        <v>5</v>
      </c>
      <c r="F1" s="98" t="s">
        <v>6</v>
      </c>
      <c r="G1" s="99" t="s">
        <v>8</v>
      </c>
    </row>
    <row r="2" ht="67.5" customHeight="1">
      <c r="A2" s="100">
        <v>1.0</v>
      </c>
      <c r="B2" s="12"/>
      <c r="C2" s="101"/>
      <c r="D2" s="12"/>
      <c r="E2" s="12"/>
      <c r="F2" s="101"/>
      <c r="G2" s="102"/>
    </row>
    <row r="3" ht="67.5" customHeight="1">
      <c r="A3" s="100">
        <v>2.0</v>
      </c>
      <c r="B3" s="12"/>
      <c r="C3" s="101"/>
      <c r="D3" s="12"/>
      <c r="E3" s="12"/>
      <c r="F3" s="101"/>
      <c r="G3" s="102"/>
    </row>
    <row r="4" ht="67.5" customHeight="1">
      <c r="A4" s="100">
        <v>3.0</v>
      </c>
      <c r="B4" s="12"/>
      <c r="C4" s="12"/>
      <c r="D4" s="12"/>
      <c r="E4" s="12"/>
      <c r="F4" s="103"/>
      <c r="G4" s="102"/>
    </row>
    <row r="5" ht="67.5" customHeight="1">
      <c r="A5" s="104">
        <v>4.0</v>
      </c>
      <c r="B5" s="12"/>
      <c r="C5" s="101">
        <v>28.3</v>
      </c>
      <c r="D5" s="12"/>
      <c r="E5" s="101">
        <v>1.0</v>
      </c>
      <c r="F5" s="101" t="s">
        <v>433</v>
      </c>
      <c r="G5" s="105" t="s">
        <v>434</v>
      </c>
    </row>
    <row r="6" ht="67.5" customHeight="1">
      <c r="A6" s="104">
        <v>5.0</v>
      </c>
      <c r="B6" s="12"/>
      <c r="C6" s="101">
        <v>27.8</v>
      </c>
      <c r="D6" s="101"/>
      <c r="E6" s="101">
        <v>1.0</v>
      </c>
      <c r="F6" s="101"/>
      <c r="G6" s="102"/>
    </row>
    <row r="7" ht="67.5" customHeight="1">
      <c r="A7" s="104">
        <v>6.0</v>
      </c>
      <c r="B7" s="12"/>
      <c r="C7" s="101">
        <v>28.3</v>
      </c>
      <c r="D7" s="101"/>
      <c r="E7" s="101">
        <v>1.0</v>
      </c>
      <c r="F7" s="101"/>
      <c r="G7" s="102"/>
    </row>
    <row r="8" ht="67.5" customHeight="1">
      <c r="A8" s="104">
        <v>7.0</v>
      </c>
      <c r="B8" s="12"/>
      <c r="C8" s="101">
        <v>28.1</v>
      </c>
      <c r="D8" s="12"/>
      <c r="E8" s="101">
        <v>1.0</v>
      </c>
      <c r="F8" s="12"/>
      <c r="G8" s="102"/>
    </row>
    <row r="9" ht="67.5" customHeight="1">
      <c r="A9" s="100">
        <v>8.0</v>
      </c>
      <c r="B9" s="12"/>
      <c r="C9" s="12"/>
      <c r="D9" s="12"/>
      <c r="E9" s="12"/>
      <c r="F9" s="12"/>
      <c r="G9" s="102"/>
    </row>
    <row r="10" ht="67.5" customHeight="1">
      <c r="A10" s="100">
        <v>9.0</v>
      </c>
      <c r="B10" s="12"/>
      <c r="C10" s="12"/>
      <c r="D10" s="101"/>
      <c r="E10" s="12"/>
      <c r="G10" s="105"/>
    </row>
    <row r="11" ht="67.5" customHeight="1">
      <c r="A11" s="104">
        <v>10.0</v>
      </c>
      <c r="B11" s="12"/>
      <c r="C11" s="101">
        <v>32.5</v>
      </c>
      <c r="D11" s="12"/>
      <c r="E11" s="101">
        <v>1.0</v>
      </c>
      <c r="F11" s="101" t="s">
        <v>435</v>
      </c>
      <c r="G11" s="102"/>
    </row>
    <row r="12" ht="67.5" customHeight="1">
      <c r="A12" s="100">
        <v>11.0</v>
      </c>
      <c r="B12" s="12"/>
      <c r="C12" s="101">
        <v>59.8</v>
      </c>
      <c r="D12" s="12"/>
      <c r="E12" s="101">
        <v>1.0</v>
      </c>
      <c r="F12" s="101" t="s">
        <v>436</v>
      </c>
      <c r="G12" s="105" t="s">
        <v>437</v>
      </c>
    </row>
    <row r="13" ht="67.5" customHeight="1">
      <c r="A13" s="100">
        <v>12.0</v>
      </c>
      <c r="B13" s="12"/>
      <c r="C13" s="101">
        <v>32.5</v>
      </c>
      <c r="D13" s="12"/>
      <c r="E13" s="101">
        <v>1.0</v>
      </c>
      <c r="F13" s="101" t="s">
        <v>438</v>
      </c>
      <c r="G13" s="105" t="s">
        <v>437</v>
      </c>
    </row>
    <row r="14" ht="67.5" customHeight="1">
      <c r="A14" s="100">
        <v>13.0</v>
      </c>
      <c r="B14" s="12"/>
      <c r="C14" s="12"/>
      <c r="D14" s="12"/>
      <c r="E14" s="12"/>
      <c r="F14" s="12"/>
      <c r="G14" s="102"/>
    </row>
    <row r="15" ht="67.5" customHeight="1">
      <c r="A15" s="100">
        <v>14.0</v>
      </c>
      <c r="B15" s="12"/>
      <c r="C15" s="12"/>
      <c r="D15" s="12"/>
      <c r="E15" s="12"/>
      <c r="F15" s="12"/>
      <c r="G15" s="102"/>
    </row>
    <row r="16" ht="67.5" customHeight="1">
      <c r="A16" s="106">
        <v>15.0</v>
      </c>
      <c r="B16" s="12"/>
      <c r="C16" s="12"/>
      <c r="D16" s="12"/>
      <c r="E16" s="101">
        <v>1.0</v>
      </c>
      <c r="F16" s="12"/>
      <c r="G16" s="102"/>
    </row>
    <row r="17" ht="67.5" customHeight="1">
      <c r="A17" s="104">
        <v>16.0</v>
      </c>
      <c r="B17" s="12"/>
      <c r="C17" s="101">
        <v>48.9</v>
      </c>
      <c r="D17" s="12"/>
      <c r="E17" s="101">
        <v>1.0</v>
      </c>
      <c r="F17" s="101" t="s">
        <v>435</v>
      </c>
      <c r="G17" s="102"/>
    </row>
    <row r="18" ht="67.5" customHeight="1">
      <c r="A18" s="104">
        <v>17.0</v>
      </c>
      <c r="B18" s="12"/>
      <c r="C18" s="101">
        <v>35.2</v>
      </c>
      <c r="D18" s="12"/>
      <c r="E18" s="101">
        <v>1.0</v>
      </c>
      <c r="F18" s="101" t="s">
        <v>435</v>
      </c>
      <c r="G18" s="102"/>
    </row>
    <row r="19" ht="67.5" customHeight="1">
      <c r="A19" s="104">
        <v>18.0</v>
      </c>
      <c r="B19" s="12"/>
      <c r="C19" s="101">
        <v>35.1</v>
      </c>
      <c r="D19" s="12"/>
      <c r="E19" s="101">
        <v>1.0</v>
      </c>
      <c r="F19" s="107" t="s">
        <v>439</v>
      </c>
      <c r="G19" s="105" t="s">
        <v>440</v>
      </c>
    </row>
    <row r="20" ht="67.5" customHeight="1">
      <c r="A20" s="100">
        <v>19.0</v>
      </c>
      <c r="B20" s="12"/>
      <c r="C20" s="12"/>
      <c r="D20" s="12"/>
      <c r="E20" s="12"/>
      <c r="F20" s="12"/>
      <c r="G20" s="102"/>
    </row>
    <row r="21" ht="67.5" customHeight="1">
      <c r="A21" s="100">
        <v>20.0</v>
      </c>
      <c r="B21" s="12"/>
      <c r="C21" s="12"/>
      <c r="D21" s="12"/>
      <c r="E21" s="12"/>
      <c r="F21" s="12"/>
      <c r="G21" s="102"/>
    </row>
    <row r="22" ht="67.5" customHeight="1">
      <c r="A22" s="100">
        <v>21.0</v>
      </c>
      <c r="B22" s="12"/>
      <c r="C22" s="12"/>
      <c r="D22" s="12"/>
      <c r="E22" s="12"/>
      <c r="F22" s="12"/>
      <c r="G22" s="102"/>
    </row>
    <row r="23" ht="67.5" customHeight="1">
      <c r="A23" s="100">
        <v>22.0</v>
      </c>
      <c r="B23" s="12"/>
      <c r="C23" s="12"/>
      <c r="D23" s="12"/>
      <c r="E23" s="12"/>
      <c r="F23" s="12"/>
      <c r="G23" s="102"/>
    </row>
    <row r="24" ht="67.5" customHeight="1">
      <c r="A24" s="100">
        <v>23.0</v>
      </c>
      <c r="B24" s="12"/>
      <c r="C24" s="12"/>
      <c r="D24" s="12"/>
      <c r="E24" s="12"/>
      <c r="F24" s="12"/>
      <c r="G24" s="102"/>
    </row>
    <row r="25" ht="67.5" customHeight="1">
      <c r="A25" s="100">
        <v>24.0</v>
      </c>
      <c r="B25" s="12"/>
      <c r="C25" s="12"/>
      <c r="D25" s="12"/>
      <c r="E25" s="12"/>
      <c r="F25" s="12"/>
      <c r="G25" s="102"/>
    </row>
    <row r="26" ht="67.5" customHeight="1">
      <c r="A26" s="104">
        <v>25.0</v>
      </c>
      <c r="B26" s="12"/>
      <c r="C26" s="101">
        <v>54.0</v>
      </c>
      <c r="D26" s="12"/>
      <c r="E26" s="101">
        <v>1.0</v>
      </c>
      <c r="F26" s="101" t="s">
        <v>441</v>
      </c>
      <c r="G26" s="102"/>
    </row>
    <row r="27" ht="67.5" customHeight="1">
      <c r="A27" s="100">
        <v>26.0</v>
      </c>
      <c r="B27" s="12"/>
      <c r="C27" s="12"/>
      <c r="D27" s="101"/>
      <c r="E27" s="101">
        <v>0.0</v>
      </c>
      <c r="F27" s="101"/>
      <c r="G27" s="108"/>
    </row>
    <row r="28" ht="67.5" customHeight="1">
      <c r="A28" s="100">
        <v>27.0</v>
      </c>
      <c r="B28" s="12"/>
      <c r="C28" s="12"/>
      <c r="D28" s="12"/>
      <c r="E28" s="12"/>
      <c r="F28" s="101" t="s">
        <v>442</v>
      </c>
      <c r="G28" s="102"/>
    </row>
    <row r="29" ht="67.5" customHeight="1">
      <c r="A29" s="104">
        <v>28.0</v>
      </c>
      <c r="B29" s="12"/>
      <c r="C29" s="101">
        <v>35.1</v>
      </c>
      <c r="D29" s="12"/>
      <c r="E29" s="101">
        <v>1.0</v>
      </c>
      <c r="F29" s="107" t="s">
        <v>443</v>
      </c>
      <c r="G29" s="102"/>
    </row>
    <row r="30" ht="67.5" customHeight="1">
      <c r="A30" s="100">
        <v>29.0</v>
      </c>
      <c r="B30" s="12"/>
      <c r="C30" s="12"/>
      <c r="D30" s="101"/>
      <c r="E30" s="12"/>
      <c r="F30" s="12"/>
      <c r="G30" s="109"/>
    </row>
    <row r="31" ht="67.5" customHeight="1">
      <c r="A31" s="104">
        <v>30.0</v>
      </c>
      <c r="B31" s="12"/>
      <c r="C31" s="101">
        <v>35.2</v>
      </c>
      <c r="D31" s="12"/>
      <c r="E31" s="101">
        <v>1.0</v>
      </c>
      <c r="F31" s="107" t="s">
        <v>444</v>
      </c>
      <c r="G31" s="105" t="s">
        <v>434</v>
      </c>
    </row>
    <row r="32" ht="67.5" customHeight="1">
      <c r="A32" s="100">
        <v>31.0</v>
      </c>
      <c r="B32" s="12"/>
      <c r="C32" s="12"/>
      <c r="D32" s="12"/>
      <c r="E32" s="12"/>
      <c r="F32" s="12"/>
      <c r="G32" s="102"/>
    </row>
    <row r="33" ht="67.5" customHeight="1">
      <c r="A33" s="104">
        <v>32.0</v>
      </c>
      <c r="B33" s="12"/>
      <c r="C33" s="101">
        <v>32.3</v>
      </c>
      <c r="D33" s="12"/>
      <c r="E33" s="101">
        <v>1.0</v>
      </c>
      <c r="F33" s="12"/>
      <c r="G33" s="102"/>
    </row>
    <row r="34" ht="67.5" customHeight="1">
      <c r="A34" s="104">
        <v>33.0</v>
      </c>
      <c r="B34" s="12"/>
      <c r="C34" s="101">
        <v>93.3</v>
      </c>
      <c r="D34" s="12"/>
      <c r="E34" s="101">
        <v>1.0</v>
      </c>
      <c r="F34" s="12"/>
      <c r="G34" s="102"/>
    </row>
    <row r="35" ht="22.5" customHeight="1">
      <c r="A35" s="100"/>
      <c r="B35" s="12"/>
      <c r="C35" s="12">
        <f>SUM(Офисы[Квадратура])</f>
        <v>606.4</v>
      </c>
      <c r="D35" s="12">
        <f>SUM(Офисы[Голосует электронно])</f>
        <v>0</v>
      </c>
      <c r="E35" s="101">
        <f>SUM(E2:E34)</f>
        <v>16</v>
      </c>
      <c r="F35" s="12"/>
      <c r="G35" s="102"/>
    </row>
    <row r="41">
      <c r="D41" s="110"/>
    </row>
    <row r="43">
      <c r="D43" s="111"/>
    </row>
    <row r="48">
      <c r="C48" s="111"/>
    </row>
  </sheetData>
  <conditionalFormatting sqref="D2">
    <cfRule type="cellIs" dxfId="6" priority="1" operator="greaterThanOrEqual">
      <formula>1</formula>
    </cfRule>
  </conditionalFormatting>
  <conditionalFormatting sqref="C2:F34">
    <cfRule type="cellIs" dxfId="6" priority="2" operator="greaterThanOrEqual">
      <formula>1</formula>
    </cfRule>
  </conditionalFormatting>
  <dataValidations>
    <dataValidation type="custom" allowBlank="1" showDropDown="1" sqref="A2:A34">
      <formula1>AND(ISNUMBER(A2),(NOT(OR(NOT(ISERROR(DATEVALUE(A2))), AND(ISNUMBER(A2), LEFT(CELL("format", A2))="D")))))</formula1>
    </dataValidation>
    <dataValidation allowBlank="1" showDropDown="1" sqref="G2:G34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59.13"/>
    <col customWidth="1" min="4" max="5" width="18.75"/>
    <col customWidth="1" min="6" max="6" width="25.13"/>
    <col customWidth="1" min="7" max="7" width="23.63"/>
    <col customWidth="1" min="8" max="8" width="23.0"/>
  </cols>
  <sheetData>
    <row r="1" ht="22.5" customHeight="1">
      <c r="A1" s="5" t="s">
        <v>445</v>
      </c>
      <c r="B1" s="5" t="s">
        <v>446</v>
      </c>
    </row>
    <row r="2" ht="22.5" customHeight="1">
      <c r="A2" s="112" t="s">
        <v>447</v>
      </c>
      <c r="B2" s="113" t="s">
        <v>448</v>
      </c>
    </row>
    <row r="3" ht="22.5" customHeight="1">
      <c r="A3" s="114" t="s">
        <v>449</v>
      </c>
      <c r="B3" s="113" t="s">
        <v>450</v>
      </c>
    </row>
    <row r="4" ht="22.5" customHeight="1">
      <c r="A4" s="114" t="s">
        <v>451</v>
      </c>
      <c r="B4" s="113" t="s">
        <v>452</v>
      </c>
    </row>
    <row r="5" ht="22.5" customHeight="1">
      <c r="A5" s="114" t="s">
        <v>453</v>
      </c>
      <c r="B5" s="115" t="s">
        <v>454</v>
      </c>
    </row>
    <row r="6" ht="22.5" customHeight="1">
      <c r="A6" s="114" t="s">
        <v>455</v>
      </c>
      <c r="B6" s="113" t="s">
        <v>456</v>
      </c>
    </row>
    <row r="7" ht="22.5" customHeight="1">
      <c r="A7" s="114" t="s">
        <v>457</v>
      </c>
      <c r="B7" s="113" t="s">
        <v>458</v>
      </c>
    </row>
    <row r="8" ht="22.5" customHeight="1">
      <c r="A8" s="114" t="s">
        <v>459</v>
      </c>
      <c r="B8" s="113" t="s">
        <v>460</v>
      </c>
    </row>
    <row r="9" ht="22.5" customHeight="1">
      <c r="A9" s="114" t="s">
        <v>461</v>
      </c>
      <c r="B9" s="115" t="s">
        <v>462</v>
      </c>
    </row>
    <row r="10" ht="22.5" customHeight="1">
      <c r="A10" s="114" t="s">
        <v>463</v>
      </c>
      <c r="B10" s="113" t="s">
        <v>464</v>
      </c>
    </row>
    <row r="11" ht="22.5" customHeight="1">
      <c r="A11" s="114" t="s">
        <v>465</v>
      </c>
      <c r="B11" s="113" t="s">
        <v>466</v>
      </c>
    </row>
    <row r="12" ht="22.5" customHeight="1">
      <c r="A12" s="114" t="s">
        <v>467</v>
      </c>
      <c r="B12" s="113" t="s">
        <v>468</v>
      </c>
    </row>
    <row r="13" ht="22.5" customHeight="1">
      <c r="A13" s="114" t="s">
        <v>469</v>
      </c>
      <c r="B13" s="115" t="s">
        <v>470</v>
      </c>
    </row>
    <row r="14" ht="22.5" customHeight="1">
      <c r="A14" s="114" t="s">
        <v>471</v>
      </c>
      <c r="B14" s="113" t="s">
        <v>472</v>
      </c>
    </row>
    <row r="15" ht="22.5" customHeight="1">
      <c r="A15" s="114" t="s">
        <v>473</v>
      </c>
      <c r="B15" s="113" t="s">
        <v>474</v>
      </c>
    </row>
    <row r="16" ht="22.5" customHeight="1">
      <c r="A16" s="114" t="s">
        <v>475</v>
      </c>
      <c r="B16" s="113" t="s">
        <v>476</v>
      </c>
    </row>
  </sheetData>
  <dataValidations>
    <dataValidation allowBlank="1" showDropDown="1" sqref="A2:A16"/>
  </dataValidations>
  <hyperlinks>
    <hyperlink r:id="rId1" ref="B5"/>
    <hyperlink r:id="rId2" ref="B9"/>
    <hyperlink r:id="rId3" ref="B13"/>
  </hyperlinks>
  <drawing r:id="rId4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16.5"/>
    <col customWidth="1" min="3" max="3" width="18.0"/>
    <col customWidth="1" min="4" max="4" width="21.5"/>
    <col customWidth="1" min="5" max="5" width="24.63"/>
    <col customWidth="1" min="6" max="6" width="21.25"/>
    <col customWidth="1" min="7" max="7" width="26.0"/>
  </cols>
  <sheetData>
    <row r="1" ht="22.5" customHeight="1">
      <c r="A1" s="116" t="s">
        <v>477</v>
      </c>
      <c r="B1" s="117" t="s">
        <v>478</v>
      </c>
      <c r="G1" s="116" t="s">
        <v>479</v>
      </c>
    </row>
    <row r="2" ht="22.5" customHeight="1">
      <c r="A2" s="118">
        <v>198.0</v>
      </c>
      <c r="B2" s="119" t="s">
        <v>480</v>
      </c>
      <c r="G2" s="120" t="s">
        <v>480</v>
      </c>
    </row>
    <row r="3" ht="22.5" customHeight="1">
      <c r="G3" s="120" t="s">
        <v>481</v>
      </c>
    </row>
    <row r="6" ht="22.5" customHeight="1">
      <c r="A6" s="98" t="s">
        <v>482</v>
      </c>
      <c r="B6" s="3" t="s">
        <v>483</v>
      </c>
      <c r="C6" s="3" t="s">
        <v>484</v>
      </c>
      <c r="D6" s="3" t="s">
        <v>485</v>
      </c>
      <c r="E6" s="3" t="s">
        <v>486</v>
      </c>
    </row>
    <row r="7" ht="22.5" customHeight="1">
      <c r="A7" s="120" t="str">
        <f>IFERROR(VLOOKUP(Кватрира[Номер квартиры],'Подъезд 1'!B2:C81,2,0),"")</f>
        <v/>
      </c>
      <c r="B7" s="12" t="str">
        <f>IFERROR(VLOOKUP(Кватрира[Номер квартиры],'Подъезд 2'!B2:C81,2,0),"")</f>
        <v/>
      </c>
      <c r="C7" s="12" t="str">
        <f>IFERROR(VLOOKUP(Кватрира[Номер квартиры],'Подъезд 3'!B2:C70,2,0),"")</f>
        <v>91:02:001013:7305</v>
      </c>
      <c r="D7" s="12" t="str">
        <f>IFERROR(VLOOKUP(Кватрира[Номер квартиры],'Офисы'!B2:C34,2,0),"")</f>
        <v/>
      </c>
      <c r="E7" s="12" t="str">
        <f>IFERROR(IFS(AND(NOT(EQ(Кадастровый[Кадастровый 1],"")),EQ(Кватрира[тип],G2)),Кадастровый[Кадастровый 1],AND(NOT(EQ(Кадастровый[Кадастровый 2],"")),EQ( Кватрира[тип],G2)),Кадастровый[Кадастровый 2],AND(NOT(EQ(Кадастровый[Кадастровый 3],"")),EQ(Кватрира[тип],G2)),Кадастровый[Кадастровый 3], AND(NOT(EQ(Кадастровый[Кадастровый 4],"")),EQ(Кватрира[тип],G3)),Кадастровый[Кадастровый 4]), "________________________________________")</f>
        <v>91:02:001013:7305</v>
      </c>
    </row>
    <row r="11" ht="22.5" customHeight="1">
      <c r="A11" s="98" t="s">
        <v>487</v>
      </c>
      <c r="B11" s="3" t="s">
        <v>488</v>
      </c>
      <c r="C11" s="3" t="s">
        <v>489</v>
      </c>
      <c r="D11" s="3" t="s">
        <v>490</v>
      </c>
      <c r="E11" s="3" t="s">
        <v>163</v>
      </c>
    </row>
    <row r="12" ht="22.5" customHeight="1">
      <c r="A12" s="120" t="str">
        <f>IFERROR(VLOOKUP(Кватрира[Номер квартиры],'Подъезд 1'!B2:D81,3,0),"")</f>
        <v/>
      </c>
      <c r="B12" s="12" t="str">
        <f>IFERROR(VLOOKUP(Кватрира[Номер квартиры],'Подъезд 2'!B7:D81,3,0),"")</f>
        <v/>
      </c>
      <c r="C12" s="12">
        <f>IFERROR(VLOOKUP(Кватрира[Номер квартиры],'Подъезд 3'!B7:D70,3,0),"")</f>
        <v>55.8</v>
      </c>
      <c r="D12" s="12" t="str">
        <f>IFERROR(VLOOKUP(Кватрира[Номер квартиры],'Офисы'!B7:D34,3,0),"")</f>
        <v/>
      </c>
      <c r="E12" s="12">
        <f>IFERROR(IFS(AND(NOT(EQ(Квадратура[Квадратура 1],"")),EQ( Кватрира[тип],G2)),Квадратура[Квадратура 1],AND(NOT(EQ(Квадратура[Квадратура 2],"")),EQ( Кватрира[тип],G2)),Квадратура[Квадратура 2],AND(NOT(EQ(Квадратура[Квадратура 3],"")),EQ(Кватрира[тип],G2)),Квадратура[Квадратура 3], AND(NOT(EQ(Квадратура[Квадратура 4],"")),EQ( Кватрира[тип],G3)),Квадратура[Квадратура 4]),"____ кв.м.,")</f>
        <v>55.8</v>
      </c>
    </row>
    <row r="16">
      <c r="A16" s="39"/>
    </row>
    <row r="17">
      <c r="A17" s="39"/>
      <c r="B17" s="39"/>
      <c r="C17" s="121"/>
      <c r="D17" s="121"/>
    </row>
    <row r="18" ht="22.5" customHeight="1">
      <c r="A18" s="116" t="s">
        <v>491</v>
      </c>
      <c r="B18" s="116" t="s">
        <v>492</v>
      </c>
      <c r="C18" s="5" t="s">
        <v>493</v>
      </c>
      <c r="D18" s="5" t="s">
        <v>494</v>
      </c>
    </row>
    <row r="19" ht="22.5" customHeight="1">
      <c r="A19" s="120">
        <v>30.0</v>
      </c>
      <c r="B19" s="120" t="s">
        <v>495</v>
      </c>
      <c r="C19" s="120">
        <v>30.0</v>
      </c>
      <c r="D19" s="120" t="s">
        <v>496</v>
      </c>
    </row>
  </sheetData>
  <dataValidations>
    <dataValidation type="list" allowBlank="1" sqref="B2">
      <formula1>#REF!</formula1>
    </dataValidation>
    <dataValidation type="custom" allowBlank="1" showDropDown="1" sqref="A2">
      <formula1>AND(ISNUMBER(A2),(NOT(OR(NOT(ISERROR(DATEVALUE(A2))), AND(ISNUMBER(A2), LEFT(CELL("format", A2))="D")))))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30.0"/>
    <col customWidth="1" min="3" max="3" width="18.75"/>
    <col customWidth="1" min="4" max="4" width="19.13"/>
    <col customWidth="1" min="5" max="5" width="18.13"/>
  </cols>
  <sheetData>
    <row r="1">
      <c r="A1" s="122" t="s">
        <v>497</v>
      </c>
    </row>
    <row r="2">
      <c r="A2" s="122" t="s">
        <v>498</v>
      </c>
    </row>
    <row r="3">
      <c r="A3" s="123" t="s">
        <v>499</v>
      </c>
    </row>
    <row r="4">
      <c r="A4" s="124" t="s">
        <v>500</v>
      </c>
    </row>
    <row r="5">
      <c r="A5" s="123" t="s">
        <v>499</v>
      </c>
    </row>
    <row r="6">
      <c r="A6" s="125" t="s">
        <v>501</v>
      </c>
    </row>
    <row r="7">
      <c r="A7" s="123" t="str">
        <f>"- собственник "&amp;Кватрира[тип]&amp;" №"</f>
        <v>- собственник жилого помещения №</v>
      </c>
      <c r="C7" s="126">
        <f>Кватрира[Номер квартиры]</f>
        <v>198</v>
      </c>
      <c r="D7" s="123" t="s">
        <v>502</v>
      </c>
      <c r="E7" s="123" t="str">
        <f>TEXT(Квадратура[Квадратура],"0.00 кв.м.,") </f>
        <v>55,80 кв.м.,</v>
      </c>
    </row>
    <row r="8">
      <c r="A8" s="123" t="s">
        <v>503</v>
      </c>
    </row>
    <row r="9">
      <c r="A9" s="123" t="s">
        <v>504</v>
      </c>
    </row>
    <row r="10">
      <c r="A10" s="123" t="s">
        <v>505</v>
      </c>
    </row>
    <row r="11">
      <c r="A11" s="123" t="s">
        <v>506</v>
      </c>
    </row>
    <row r="12">
      <c r="A12" s="123" t="str">
        <f>"на основании "&amp;Кадастровый[Кадастровый]</f>
        <v>на основании 91:02:001013:7305</v>
      </c>
      <c r="D12" s="127" t="s">
        <v>507</v>
      </c>
      <c r="E12" s="123" t="s">
        <v>508</v>
      </c>
    </row>
    <row r="13">
      <c r="A13" s="128"/>
      <c r="B13" s="125" t="s">
        <v>509</v>
      </c>
      <c r="D13" s="128"/>
      <c r="E13" s="128"/>
    </row>
    <row r="14">
      <c r="A14" s="129"/>
    </row>
    <row r="15">
      <c r="A15" s="130" t="s">
        <v>510</v>
      </c>
    </row>
    <row r="16">
      <c r="A16" s="130" t="s">
        <v>511</v>
      </c>
    </row>
    <row r="17">
      <c r="A17" s="128"/>
      <c r="B17" s="125" t="s">
        <v>512</v>
      </c>
      <c r="D17" s="125" t="s">
        <v>513</v>
      </c>
    </row>
    <row r="18">
      <c r="A18" s="123" t="s">
        <v>514</v>
      </c>
    </row>
    <row r="19">
      <c r="A19" s="123" t="s">
        <v>515</v>
      </c>
    </row>
    <row r="20">
      <c r="A20" s="123"/>
    </row>
    <row r="21">
      <c r="A21" s="123" t="s">
        <v>516</v>
      </c>
    </row>
    <row r="22">
      <c r="A22" s="130" t="s">
        <v>517</v>
      </c>
    </row>
    <row r="23" ht="78.75" customHeight="1">
      <c r="A23" s="131"/>
    </row>
    <row r="24">
      <c r="A24" s="123" t="str">
        <f>"Продолжительность голосования в системе ГИС ЖКХ: с «"&amp;Даты[Начало день]&amp;"» "&amp;Даты[Начало месяц]&amp;" 2025 года 00:00 по «"&amp;Даты[Конец день]&amp;"» "&amp;Даты[Конец месяц]&amp;" 2025 года 23:59. При невозможности голосования посредством ГИС ЖКХ Вы можете проголосовать путем заполнения данного письменного бланка решения."</f>
        <v>Продолжительность голосования в системе ГИС ЖКХ: с «30» апреля 2025 года 00:00 по «30» июня 2025 года 23:59. При невозможности голосования посредством ГИС ЖКХ Вы можете проголосовать путем заполнения данного письменного бланка решения.</v>
      </c>
    </row>
    <row r="25">
      <c r="A25" s="130" t="str">
        <f>"Для голосования заполненные письменные решения необходимо опустить в любой из почтовый ящиков №70, №141, №198, расположенные в лифтовом холле до «"&amp;Даты[Конец день]&amp;"» "&amp;Даты[Конец месяц]&amp;" 2025 до 23:59, по адресу: г. Севастополь, пр-т Октябрьской революции 48 к.1."</f>
        <v>Для голосования заполненные письменные решения необходимо опустить в любой из почтовый ящиков №70, №141, №198, расположенные в лифтовом холле до «30» июня 2025 до 23:59, по адресу: г. Севастополь, пр-т Октябрьской революции 48 к.1.</v>
      </c>
    </row>
    <row r="26">
      <c r="A26" s="132"/>
      <c r="C26" s="132"/>
      <c r="D26" s="132"/>
      <c r="E26" s="132"/>
    </row>
    <row r="27">
      <c r="A27" s="133" t="s">
        <v>518</v>
      </c>
    </row>
    <row r="28">
      <c r="A28" s="134" t="str">
        <f>'Вопросы'!A2</f>
        <v>1. </v>
      </c>
      <c r="B28" s="135" t="str">
        <f>'Вопросы'!B2</f>
        <v>КАМЕРЫ. Установить камеры на 0 м этаже. Установить камеры в каждый лифт. Принять в состав общедомового имущества установленные камеры. Назначить ООО "Севдомофон" организацией обслуживающей камеры в подъезде. Установить стоимость обслуживания камер в соответствии с коммерческим предложением ООО "Севдомофон". Включить в платежное поручение обслуживание камер</v>
      </c>
    </row>
    <row r="29">
      <c r="A29" s="136" t="s">
        <v>519</v>
      </c>
      <c r="C29" s="137" t="s">
        <v>520</v>
      </c>
      <c r="D29" s="137" t="s">
        <v>521</v>
      </c>
      <c r="E29" s="137" t="s">
        <v>522</v>
      </c>
      <c r="I29" s="138"/>
      <c r="J29" s="139"/>
      <c r="K29" s="139"/>
      <c r="L29" s="139"/>
    </row>
    <row r="30">
      <c r="A30" s="140"/>
      <c r="B30" s="141"/>
      <c r="C30" s="142"/>
      <c r="D30" s="142"/>
      <c r="E30" s="142"/>
      <c r="I30" s="143"/>
      <c r="J30" s="139"/>
      <c r="K30" s="139"/>
      <c r="L30" s="139"/>
    </row>
    <row r="31">
      <c r="A31" s="140"/>
      <c r="B31" s="141"/>
      <c r="C31" s="141"/>
      <c r="D31" s="141"/>
      <c r="E31" s="141"/>
      <c r="I31" s="143"/>
      <c r="J31" s="139"/>
      <c r="K31" s="139"/>
      <c r="L31" s="139"/>
    </row>
    <row r="32">
      <c r="A32" s="144" t="str">
        <f>'Вопросы'!A3</f>
        <v>2. </v>
      </c>
      <c r="B32" s="135" t="str">
        <f>'Вопросы'!B3</f>
        <v>ВОДА. Установить кран в подсобное помещение в 3й подъезд 48/1 для доступа к общедомовой воде</v>
      </c>
      <c r="I32" s="143"/>
      <c r="J32" s="139"/>
      <c r="K32" s="139"/>
      <c r="L32" s="139"/>
    </row>
    <row r="33">
      <c r="A33" s="136" t="s">
        <v>519</v>
      </c>
      <c r="C33" s="137" t="s">
        <v>520</v>
      </c>
      <c r="D33" s="137" t="s">
        <v>521</v>
      </c>
      <c r="E33" s="137" t="s">
        <v>522</v>
      </c>
      <c r="I33" s="145"/>
      <c r="J33" s="145"/>
      <c r="K33" s="145"/>
      <c r="L33" s="145"/>
    </row>
    <row r="34">
      <c r="A34" s="146"/>
      <c r="B34" s="141"/>
      <c r="C34" s="142"/>
      <c r="D34" s="142"/>
      <c r="E34" s="142"/>
      <c r="I34" s="145"/>
      <c r="J34" s="145"/>
      <c r="K34" s="145"/>
      <c r="L34" s="145"/>
    </row>
    <row r="35">
      <c r="A35" s="146"/>
      <c r="B35" s="141"/>
      <c r="C35" s="141"/>
      <c r="D35" s="141"/>
      <c r="E35" s="141"/>
      <c r="I35" s="145"/>
      <c r="J35" s="145"/>
      <c r="K35" s="145"/>
      <c r="L35" s="145"/>
    </row>
    <row r="36">
      <c r="A36" s="147" t="str">
        <f>'Вопросы'!A4</f>
        <v>3</v>
      </c>
      <c r="B36" s="135" t="str">
        <f>'Вопросы'!B4</f>
        <v>ДОМОФОНЫ. Ограничить доступ во внутренний двор дома, с применением домофонного оборудования в единой сети, путем установки домофонов на все калитки.</v>
      </c>
      <c r="I36" s="145"/>
      <c r="J36" s="145"/>
      <c r="K36" s="145"/>
      <c r="L36" s="145"/>
    </row>
    <row r="37">
      <c r="A37" s="136" t="s">
        <v>519</v>
      </c>
      <c r="C37" s="137" t="s">
        <v>520</v>
      </c>
      <c r="D37" s="137" t="s">
        <v>521</v>
      </c>
      <c r="E37" s="137" t="s">
        <v>522</v>
      </c>
    </row>
    <row r="38">
      <c r="A38" s="140"/>
      <c r="B38" s="141"/>
      <c r="C38" s="142"/>
      <c r="D38" s="142"/>
      <c r="E38" s="142"/>
    </row>
    <row r="39">
      <c r="A39" s="140"/>
      <c r="B39" s="141"/>
      <c r="C39" s="141"/>
      <c r="D39" s="141"/>
      <c r="E39" s="141"/>
    </row>
    <row r="40">
      <c r="A40" s="144" t="str">
        <f>'Вопросы'!A5</f>
        <v>4</v>
      </c>
      <c r="B40" s="135" t="str">
        <f>'Вопросы'!B5</f>
        <v>ДОМОФОНЫ. Назначить "Севдомофон" организацией обслуживающей домофоны. Включить в платежное поручение выставляемый ООО «Цифровые инновации» обслуживание единой сети домофонов. Установить стоимость единой сети домофонов в соответствии с действующем тарифом ООО "Севдомофон". Договор обслуживания от ООО "Севдомофон" с тарифами прилагается к голосованию</v>
      </c>
    </row>
    <row r="41">
      <c r="A41" s="136" t="s">
        <v>519</v>
      </c>
      <c r="C41" s="137" t="s">
        <v>520</v>
      </c>
      <c r="D41" s="137" t="s">
        <v>521</v>
      </c>
      <c r="E41" s="137" t="s">
        <v>522</v>
      </c>
    </row>
    <row r="42">
      <c r="A42" s="146"/>
      <c r="B42" s="141"/>
      <c r="C42" s="142"/>
      <c r="D42" s="142"/>
      <c r="E42" s="142"/>
    </row>
    <row r="43">
      <c r="A43" s="146"/>
      <c r="B43" s="141"/>
      <c r="C43" s="141"/>
      <c r="D43" s="141"/>
      <c r="E43" s="141"/>
    </row>
    <row r="44">
      <c r="A44" s="147" t="str">
        <f>'Вопросы'!A6</f>
        <v>5</v>
      </c>
      <c r="B44" s="135" t="str">
        <f>'Вопросы'!B6</f>
        <v>ВОРОТА. Ограничение въезда транспорта во внутренний двор (кроме транспорта законных владельцев помещений, карет скорой помощи, автотранспорта МЧС и др. экстренных служб) на придомовую территорию многоквартирного дома путем установки автоматических ворот и иных средств автоматики на земельном участке многоквартирных домов ПОР 48 и ПОР 48/1.</v>
      </c>
    </row>
    <row r="45">
      <c r="A45" s="136" t="s">
        <v>519</v>
      </c>
      <c r="C45" s="137" t="s">
        <v>520</v>
      </c>
      <c r="D45" s="137" t="s">
        <v>521</v>
      </c>
      <c r="E45" s="137" t="s">
        <v>522</v>
      </c>
    </row>
    <row r="46">
      <c r="A46" s="140"/>
      <c r="B46" s="141"/>
      <c r="C46" s="142"/>
      <c r="D46" s="142"/>
      <c r="E46" s="142"/>
    </row>
    <row r="47">
      <c r="A47" s="140"/>
      <c r="B47" s="141"/>
      <c r="C47" s="141"/>
      <c r="D47" s="141"/>
      <c r="E47" s="141"/>
    </row>
    <row r="48">
      <c r="A48" s="144" t="str">
        <f>'Вопросы'!A7</f>
        <v>6</v>
      </c>
      <c r="B48" s="135" t="str">
        <f>'Вопросы'!B7</f>
        <v>ВОРОТА. Наделить ООО “Управляющая компания Стрелецкая бухта” полномочиями по согласованию установки автоматических ворот, металлического забора и иных средств автоматики на земельном участке многоквартирного дома с органами государственной власти г. Севастополя.</v>
      </c>
    </row>
    <row r="49">
      <c r="A49" s="136" t="s">
        <v>519</v>
      </c>
      <c r="C49" s="137" t="s">
        <v>520</v>
      </c>
      <c r="D49" s="137" t="s">
        <v>521</v>
      </c>
      <c r="E49" s="137" t="s">
        <v>522</v>
      </c>
    </row>
    <row r="50">
      <c r="A50" s="146"/>
      <c r="B50" s="141"/>
      <c r="C50" s="142"/>
      <c r="D50" s="142"/>
      <c r="E50" s="142"/>
    </row>
    <row r="51">
      <c r="A51" s="146"/>
      <c r="B51" s="141"/>
      <c r="C51" s="141"/>
      <c r="D51" s="141"/>
      <c r="E51" s="141"/>
    </row>
    <row r="52">
      <c r="A52" s="147" t="str">
        <f>'Вопросы'!A8</f>
        <v>7</v>
      </c>
      <c r="B52" s="135" t="str">
        <f>'Вопросы'!B8</f>
        <v>ВОРОТА. Наделить ООО “Управляющая компания Стрелецкая бухта” полномочиями на заключение договора с подрядной организацией на монтаж автоматических ворот и иных средств автоматики.</v>
      </c>
    </row>
    <row r="53">
      <c r="A53" s="136" t="s">
        <v>519</v>
      </c>
      <c r="C53" s="137" t="s">
        <v>520</v>
      </c>
      <c r="D53" s="137" t="s">
        <v>521</v>
      </c>
      <c r="E53" s="137" t="s">
        <v>522</v>
      </c>
    </row>
    <row r="54">
      <c r="A54" s="140"/>
      <c r="B54" s="141"/>
      <c r="C54" s="142"/>
      <c r="D54" s="142"/>
      <c r="E54" s="142"/>
    </row>
    <row r="55">
      <c r="A55" s="140"/>
      <c r="B55" s="141"/>
      <c r="C55" s="141"/>
      <c r="D55" s="141"/>
      <c r="E55" s="141"/>
    </row>
    <row r="56">
      <c r="A56" s="144" t="str">
        <f>'Вопросы'!A9</f>
        <v>8</v>
      </c>
      <c r="B56" s="135" t="str">
        <f>'Вопросы'!B9</f>
        <v>ВОРОТА. Наделить ООО “Управляющая компания Стрелецкая бухта” полномочиями по сбору с собственников помещений денежных средств на установку автоматических ворот и иных средств автоматики на придомовой территории ПОР 48 с подрядной организацией путем включения соответствующей графы в платежный документ, выставляемый ООО «Цифровые инновации» собственникам помещений в размере, пропорциональном занимаемой собственником площади жилого/нежилого помещения.</v>
      </c>
    </row>
    <row r="57">
      <c r="A57" s="136" t="s">
        <v>519</v>
      </c>
      <c r="C57" s="137" t="s">
        <v>520</v>
      </c>
      <c r="D57" s="137" t="s">
        <v>521</v>
      </c>
      <c r="E57" s="137" t="s">
        <v>522</v>
      </c>
    </row>
    <row r="58">
      <c r="A58" s="146"/>
      <c r="B58" s="141"/>
      <c r="C58" s="142"/>
      <c r="D58" s="142"/>
      <c r="E58" s="142"/>
    </row>
    <row r="59">
      <c r="A59" s="146"/>
      <c r="B59" s="141"/>
      <c r="C59" s="141"/>
      <c r="D59" s="141"/>
      <c r="E59" s="141"/>
    </row>
    <row r="60">
      <c r="A60" s="147" t="str">
        <f>'Вопросы'!A10</f>
        <v>9</v>
      </c>
      <c r="B60" s="135" t="str">
        <f>'Вопросы'!B10</f>
        <v>ВОРОТА. Наделить полномочиями совет дома на принятие решения об утверждении сметной стоимости автоматических ворот и иных средств автоматики, а также утверждении размера единовременной выплаты с квадратного метра</v>
      </c>
    </row>
    <row r="61">
      <c r="A61" s="136" t="s">
        <v>519</v>
      </c>
      <c r="C61" s="137" t="s">
        <v>520</v>
      </c>
      <c r="D61" s="137" t="s">
        <v>521</v>
      </c>
      <c r="E61" s="137" t="s">
        <v>522</v>
      </c>
    </row>
    <row r="62">
      <c r="A62" s="140"/>
      <c r="B62" s="141"/>
      <c r="C62" s="142"/>
      <c r="D62" s="142"/>
      <c r="E62" s="142"/>
    </row>
    <row r="63">
      <c r="A63" s="140"/>
      <c r="B63" s="141"/>
      <c r="C63" s="141"/>
      <c r="D63" s="141"/>
      <c r="E63" s="141"/>
    </row>
    <row r="64">
      <c r="A64" s="144" t="str">
        <f>'Вопросы'!A11</f>
        <v>10</v>
      </c>
      <c r="B64" s="135" t="str">
        <f>'Вопросы'!B11</f>
        <v>ВОРОТА. Включить в общедомовое имущество все ограждения, калитки и ворота с системой автоматики</v>
      </c>
    </row>
    <row r="65">
      <c r="A65" s="136" t="s">
        <v>519</v>
      </c>
      <c r="C65" s="137" t="s">
        <v>520</v>
      </c>
      <c r="D65" s="137" t="s">
        <v>521</v>
      </c>
      <c r="E65" s="137" t="s">
        <v>522</v>
      </c>
    </row>
    <row r="66">
      <c r="A66" s="146"/>
      <c r="B66" s="141"/>
      <c r="C66" s="142"/>
      <c r="D66" s="142"/>
      <c r="E66" s="142"/>
    </row>
    <row r="67">
      <c r="A67" s="146"/>
      <c r="B67" s="141"/>
      <c r="C67" s="141"/>
      <c r="D67" s="141"/>
      <c r="E67" s="141"/>
    </row>
    <row r="68">
      <c r="A68" s="147" t="str">
        <f>'Вопросы'!A12</f>
        <v>11</v>
      </c>
      <c r="B68" s="135" t="str">
        <f>'Вопросы'!B12</f>
        <v>МУСОРКА. Ограничить доступ к мусорным контейнерам расположенных по адресу ПОР 48</v>
      </c>
    </row>
    <row r="69">
      <c r="A69" s="136" t="s">
        <v>519</v>
      </c>
      <c r="C69" s="137" t="s">
        <v>520</v>
      </c>
      <c r="D69" s="137" t="s">
        <v>521</v>
      </c>
      <c r="E69" s="137" t="s">
        <v>522</v>
      </c>
    </row>
    <row r="70">
      <c r="A70" s="140"/>
      <c r="B70" s="141"/>
      <c r="C70" s="142"/>
      <c r="D70" s="142"/>
      <c r="E70" s="142"/>
    </row>
    <row r="71">
      <c r="A71" s="140"/>
      <c r="B71" s="141"/>
      <c r="C71" s="141"/>
      <c r="D71" s="141"/>
      <c r="E71" s="141"/>
    </row>
    <row r="72">
      <c r="A72" s="144" t="str">
        <f>'Вопросы'!A13</f>
        <v>12</v>
      </c>
      <c r="B72" s="135" t="str">
        <f>'Вопросы'!B13</f>
        <v>МУСОРКА. Наделить ООО “Управляющая компания Стрелецкая бухта” полномочиями по единовременному сбору денежных средств с собственников помещений на установку домофонного оборудования на ограждения мусорных контейнеров по адресу ПОР 48 путем включения соответствующей графы в платежный документ, выставляемый ООО «Цифровые инновации». Единовременный платеж 300р c квартиры.</v>
      </c>
    </row>
    <row r="73">
      <c r="A73" s="136" t="s">
        <v>519</v>
      </c>
      <c r="C73" s="137" t="s">
        <v>520</v>
      </c>
      <c r="D73" s="137" t="s">
        <v>521</v>
      </c>
      <c r="E73" s="137" t="s">
        <v>522</v>
      </c>
    </row>
    <row r="74">
      <c r="A74" s="146"/>
      <c r="B74" s="141"/>
      <c r="C74" s="142"/>
      <c r="D74" s="142"/>
      <c r="E74" s="142"/>
    </row>
    <row r="75">
      <c r="A75" s="146"/>
      <c r="B75" s="141"/>
      <c r="C75" s="141"/>
      <c r="D75" s="141"/>
      <c r="E75" s="141"/>
    </row>
    <row r="76">
      <c r="A76" s="147" t="str">
        <f>'Вопросы'!A14</f>
        <v>13</v>
      </c>
      <c r="B76" s="135" t="str">
        <f>'Вопросы'!B14</f>
        <v>ПОДСОБНЫЕ ПОМЕЩЕНИЯ. Использовать общедомовые подсобные помещения для организации колясочной</v>
      </c>
    </row>
    <row r="77">
      <c r="A77" s="136" t="s">
        <v>519</v>
      </c>
      <c r="C77" s="137" t="s">
        <v>520</v>
      </c>
      <c r="D77" s="137" t="s">
        <v>521</v>
      </c>
      <c r="E77" s="137" t="s">
        <v>522</v>
      </c>
    </row>
    <row r="78">
      <c r="A78" s="140"/>
      <c r="B78" s="141"/>
      <c r="C78" s="142"/>
      <c r="D78" s="142"/>
      <c r="E78" s="142"/>
    </row>
    <row r="79">
      <c r="A79" s="140"/>
      <c r="B79" s="141"/>
      <c r="C79" s="141"/>
      <c r="D79" s="141"/>
      <c r="E79" s="141"/>
    </row>
    <row r="80">
      <c r="A80" s="144" t="str">
        <f>'Вопросы'!A15</f>
        <v>14</v>
      </c>
      <c r="B80" s="135" t="str">
        <f>'Вопросы'!B15</f>
        <v>БАННЕРЫ. Управляющая организация (на данный момент ООО “Управляющая компания Стрелецкая бухта”), от имени собственников помещений в МКД, уполномочены заключать договора на аренду общего имущества иными лицами, в целях размещения рекламных и других конструкций. Получаемый доход направляется на благоустройство домов и двора по адресу ПОР 48 и ПОР 48/1. Максимальный срок договора 6 месяцев, далее договор должен перезаключаться.</v>
      </c>
    </row>
    <row r="81">
      <c r="A81" s="136" t="s">
        <v>519</v>
      </c>
      <c r="C81" s="137" t="s">
        <v>520</v>
      </c>
      <c r="D81" s="137" t="s">
        <v>521</v>
      </c>
      <c r="E81" s="137" t="s">
        <v>522</v>
      </c>
    </row>
    <row r="82">
      <c r="A82" s="146"/>
      <c r="B82" s="141"/>
      <c r="C82" s="142"/>
      <c r="D82" s="142"/>
      <c r="E82" s="142"/>
    </row>
    <row r="83">
      <c r="A83" s="146"/>
      <c r="B83" s="141"/>
      <c r="C83" s="141"/>
      <c r="D83" s="141"/>
      <c r="E83" s="141"/>
    </row>
    <row r="84">
      <c r="A84" s="147" t="str">
        <f>'Вопросы'!A16</f>
        <v>15</v>
      </c>
      <c r="B84" s="135" t="str">
        <f>'Вопросы'!B16</f>
        <v>БАННЕРЫ. Наделить полномочиями председателя совета дома и/или совет дома на согласование мест размещения рекламных конструкций и заключенных договоров. Так же председатель совета дома и/или совет дома наделяется полномочиями на согласование цены за квадратный метр. В случае многочисленных жалоб, председатель совета дома и/или совет дома наделяется полномочиями не продлевать договор на размещение рекламной конструкции.</v>
      </c>
    </row>
    <row r="85">
      <c r="A85" s="148" t="s">
        <v>519</v>
      </c>
      <c r="C85" s="137" t="s">
        <v>520</v>
      </c>
      <c r="D85" s="137" t="s">
        <v>521</v>
      </c>
      <c r="E85" s="137" t="s">
        <v>522</v>
      </c>
    </row>
    <row r="86">
      <c r="A86" s="149" t="str">
        <f>'Вопросы'!A18</f>
        <v/>
      </c>
      <c r="B86" s="141"/>
      <c r="C86" s="142"/>
      <c r="D86" s="142"/>
      <c r="E86" s="142"/>
    </row>
    <row r="88">
      <c r="A88" s="150" t="s">
        <v>523</v>
      </c>
    </row>
    <row r="89">
      <c r="A89" s="151" t="s">
        <v>524</v>
      </c>
    </row>
    <row r="92" ht="42.0" customHeight="1">
      <c r="A92" s="152"/>
      <c r="B92" s="152"/>
      <c r="C92" s="39"/>
    </row>
    <row r="93">
      <c r="A93" s="152"/>
      <c r="B93" s="152"/>
    </row>
  </sheetData>
  <mergeCells count="60">
    <mergeCell ref="B56:E56"/>
    <mergeCell ref="A57:B57"/>
    <mergeCell ref="B60:E60"/>
    <mergeCell ref="A61:B61"/>
    <mergeCell ref="B64:E64"/>
    <mergeCell ref="A65:B65"/>
    <mergeCell ref="A69:B69"/>
    <mergeCell ref="B68:E68"/>
    <mergeCell ref="B72:E72"/>
    <mergeCell ref="A73:B73"/>
    <mergeCell ref="B76:E76"/>
    <mergeCell ref="A77:B77"/>
    <mergeCell ref="B80:E80"/>
    <mergeCell ref="A81:B81"/>
    <mergeCell ref="A1:E1"/>
    <mergeCell ref="A2:E2"/>
    <mergeCell ref="A3:E3"/>
    <mergeCell ref="A4:E4"/>
    <mergeCell ref="A5:E5"/>
    <mergeCell ref="A6:E6"/>
    <mergeCell ref="A7:B7"/>
    <mergeCell ref="A8:E8"/>
    <mergeCell ref="A9:E9"/>
    <mergeCell ref="A10:E10"/>
    <mergeCell ref="A11:E11"/>
    <mergeCell ref="A12:C12"/>
    <mergeCell ref="B13:C13"/>
    <mergeCell ref="A14:E14"/>
    <mergeCell ref="A15:E15"/>
    <mergeCell ref="A16:E16"/>
    <mergeCell ref="B17:C17"/>
    <mergeCell ref="D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B26"/>
    <mergeCell ref="A27:E27"/>
    <mergeCell ref="B28:E28"/>
    <mergeCell ref="A29:B29"/>
    <mergeCell ref="B32:E32"/>
    <mergeCell ref="A33:B33"/>
    <mergeCell ref="B36:E36"/>
    <mergeCell ref="A37:B37"/>
    <mergeCell ref="A41:B41"/>
    <mergeCell ref="B40:E40"/>
    <mergeCell ref="B44:E44"/>
    <mergeCell ref="A45:B45"/>
    <mergeCell ref="B48:E48"/>
    <mergeCell ref="A49:B49"/>
    <mergeCell ref="B52:E52"/>
    <mergeCell ref="A53:B53"/>
    <mergeCell ref="B84:E84"/>
    <mergeCell ref="A85:B85"/>
    <mergeCell ref="A88:E88"/>
    <mergeCell ref="A89:E89"/>
  </mergeCells>
  <drawing r:id="rId1"/>
</worksheet>
</file>